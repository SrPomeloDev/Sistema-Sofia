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svr-qlik.avicolasofia.com\Excel Distribución\Augusto - PROD\CONEXIONES\TRANSPORTE\SCZ\"/>
    </mc:Choice>
  </mc:AlternateContent>
  <xr:revisionPtr revIDLastSave="0" documentId="13_ncr:1_{DE2DA184-74A8-4022-B0E1-C37CA26D0490}" xr6:coauthVersionLast="47" xr6:coauthVersionMax="47" xr10:uidLastSave="{00000000-0000-0000-0000-000000000000}"/>
  <bookViews>
    <workbookView xWindow="-108" yWindow="-108" windowWidth="23256" windowHeight="12456" xr2:uid="{563BDF48-9F05-4A2F-BF5F-1F5630E7565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1" i="1" l="1"/>
  <c r="A32" i="1"/>
  <c r="A50" i="1"/>
  <c r="A52" i="1"/>
  <c r="A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3" i="1"/>
  <c r="A35" i="1"/>
  <c r="A34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1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7" i="1"/>
  <c r="A84" i="1"/>
  <c r="A83" i="1"/>
  <c r="A85" i="1"/>
  <c r="A86" i="1"/>
  <c r="A88" i="1"/>
  <c r="A89" i="1"/>
  <c r="A90" i="1"/>
</calcChain>
</file>

<file path=xl/sharedStrings.xml><?xml version="1.0" encoding="utf-8"?>
<sst xmlns="http://schemas.openxmlformats.org/spreadsheetml/2006/main" count="542" uniqueCount="219">
  <si>
    <t>RUTA HIJA ASIGNACIÓN</t>
  </si>
  <si>
    <t>RUTA MADRE EBS</t>
  </si>
  <si>
    <t>RUTA MADRE CONTRATO</t>
  </si>
  <si>
    <t>RUTA HIJA CONTRATO</t>
  </si>
  <si>
    <t>OBSERVACIÓN</t>
  </si>
  <si>
    <t>2°_VUELTA</t>
  </si>
  <si>
    <t>TARDE</t>
  </si>
  <si>
    <t>2DA VUELTA</t>
  </si>
  <si>
    <t>APOYO 1 (MS-010)</t>
  </si>
  <si>
    <t>APOYO</t>
  </si>
  <si>
    <t>NOCHE</t>
  </si>
  <si>
    <t>RUTA 1</t>
  </si>
  <si>
    <t>APOYO 10 (MS-022)</t>
  </si>
  <si>
    <t>RUTA 10</t>
  </si>
  <si>
    <t>APOYO 2 (MS-050)</t>
  </si>
  <si>
    <t>RUTA 2</t>
  </si>
  <si>
    <t>APOYO 5 (MS-020)</t>
  </si>
  <si>
    <t>RUTA 5</t>
  </si>
  <si>
    <t>APOYO 6 (MS-030)</t>
  </si>
  <si>
    <t>RUTA 6</t>
  </si>
  <si>
    <t>APOYO 6A (MS-220)</t>
  </si>
  <si>
    <t>RUTA 6A</t>
  </si>
  <si>
    <t>APOYO 7 (MS-040)</t>
  </si>
  <si>
    <t>RUTA 7</t>
  </si>
  <si>
    <t>APOYO 7A (MS-350)</t>
  </si>
  <si>
    <t>RUTA 7A</t>
  </si>
  <si>
    <t>APOYO 8 (S-120)</t>
  </si>
  <si>
    <t>RUTA 8</t>
  </si>
  <si>
    <t>APOYO 8A (S-017)</t>
  </si>
  <si>
    <t>RUTA 8A</t>
  </si>
  <si>
    <t>CERDO LOCAL 1</t>
  </si>
  <si>
    <t>CERDO_LOCAL</t>
  </si>
  <si>
    <t>CERDOS-LOCAL</t>
  </si>
  <si>
    <t>CERDO_PROVINCIA</t>
  </si>
  <si>
    <t>PROVINCIA-CERDO</t>
  </si>
  <si>
    <t>CERDO-CONCEPCION</t>
  </si>
  <si>
    <t>CERDOS-PUERTO SUAREZ</t>
  </si>
  <si>
    <t>CERDO ROBORE</t>
  </si>
  <si>
    <t>CERDO-SAN IGNACIO</t>
  </si>
  <si>
    <t>CERDO-SAN IGNACIO-SAN MIGUEL</t>
  </si>
  <si>
    <t>CERDO-SAN JOSE</t>
  </si>
  <si>
    <t>CERDO SAN JULIAN-GUARAYOS</t>
  </si>
  <si>
    <t>CERDOS-YAPACANI</t>
  </si>
  <si>
    <t>ENVIOS_ESPECIALES</t>
  </si>
  <si>
    <t>ESPECIALES</t>
  </si>
  <si>
    <t>KFC</t>
  </si>
  <si>
    <t>HUEVO</t>
  </si>
  <si>
    <t>HUEVO GRANJA</t>
  </si>
  <si>
    <t>HUEVO-GRANJA</t>
  </si>
  <si>
    <t>1 (MS-010)</t>
  </si>
  <si>
    <t>MERCADO</t>
  </si>
  <si>
    <t>10 (MS-022)</t>
  </si>
  <si>
    <t>2 (MS-050)</t>
  </si>
  <si>
    <t>5 (MS-020)</t>
  </si>
  <si>
    <t>6 (MS-030)</t>
  </si>
  <si>
    <t>6A (MS-220)</t>
  </si>
  <si>
    <t>7 (MS-040)</t>
  </si>
  <si>
    <t>7A (MS-350)</t>
  </si>
  <si>
    <t>8 (S-120)</t>
  </si>
  <si>
    <t>8A (S-017)</t>
  </si>
  <si>
    <t>BUENA VISTA</t>
  </si>
  <si>
    <t>PROVINCIA</t>
  </si>
  <si>
    <t>CAMIRI</t>
  </si>
  <si>
    <t>CAMIRI-VILLAMONTES</t>
  </si>
  <si>
    <t>CHARAGUA</t>
  </si>
  <si>
    <t>CONCEPCION</t>
  </si>
  <si>
    <t>COTOCA-PAILON</t>
  </si>
  <si>
    <t>POZO DEL TIGRE</t>
  </si>
  <si>
    <t>PUERTO SUAREZ</t>
  </si>
  <si>
    <t>SAN IGNACIO</t>
  </si>
  <si>
    <t>SAN IGNACIO-SAN MIGUEL</t>
  </si>
  <si>
    <t>SAN JOSE</t>
  </si>
  <si>
    <t>SAN JULIAN</t>
  </si>
  <si>
    <t>GUARAYOS</t>
  </si>
  <si>
    <t>SAN JULIAN-GUARAYOS</t>
  </si>
  <si>
    <t>TORNO</t>
  </si>
  <si>
    <t>VALLEGRANDE</t>
  </si>
  <si>
    <t>4 CAÑADAS</t>
  </si>
  <si>
    <t>YAPACANI</t>
  </si>
  <si>
    <t>SUPERMERCADO</t>
  </si>
  <si>
    <t>RUTEO MADRUGADA</t>
  </si>
  <si>
    <t>MAÑANA</t>
  </si>
  <si>
    <t>PLANIFICA</t>
  </si>
  <si>
    <t>SECOS</t>
  </si>
  <si>
    <t>INCENTIVO</t>
  </si>
  <si>
    <t>FAB5</t>
  </si>
  <si>
    <t>INCENTIVOS FAB5 - FAE</t>
  </si>
  <si>
    <t>FABRICAS I -II-III Y PLANTA DE INCUBACIÓN</t>
  </si>
  <si>
    <t>INCENTIVOS FABRICAS I-II-III Y PLANTA INCUB</t>
  </si>
  <si>
    <t>FAE</t>
  </si>
  <si>
    <t>INCENTIVO FAE</t>
  </si>
  <si>
    <t>FRIGORIFICO DE CERDOS</t>
  </si>
  <si>
    <t>INCENTIVO FRIGORIFICO DE CERDO</t>
  </si>
  <si>
    <t>GRANJAS</t>
  </si>
  <si>
    <t>INCENTIVOS GRANJAS</t>
  </si>
  <si>
    <t>NCD</t>
  </si>
  <si>
    <t>INCENTIVO NCD</t>
  </si>
  <si>
    <t>PARQUE INDUSTRIAL</t>
  </si>
  <si>
    <t>INCENTIVOS PARQUE INDUSTRIAL</t>
  </si>
  <si>
    <t>ROBORE</t>
  </si>
  <si>
    <t>MS-010</t>
  </si>
  <si>
    <t>MS-022</t>
  </si>
  <si>
    <t>MS-050</t>
  </si>
  <si>
    <t>MS-020</t>
  </si>
  <si>
    <t>MS-030</t>
  </si>
  <si>
    <t>MS-220</t>
  </si>
  <si>
    <t>MS-040</t>
  </si>
  <si>
    <t>MS-350</t>
  </si>
  <si>
    <t>S-120</t>
  </si>
  <si>
    <t>S-017</t>
  </si>
  <si>
    <t>FLETE</t>
  </si>
  <si>
    <t>CERSC-001</t>
  </si>
  <si>
    <t>S-612</t>
  </si>
  <si>
    <t>S-710</t>
  </si>
  <si>
    <t>S-700</t>
  </si>
  <si>
    <t>S-014</t>
  </si>
  <si>
    <t>S-016</t>
  </si>
  <si>
    <t>S-680</t>
  </si>
  <si>
    <t>PAILÓN</t>
  </si>
  <si>
    <t>S-690</t>
  </si>
  <si>
    <t>S-620</t>
  </si>
  <si>
    <t>S-630</t>
  </si>
  <si>
    <t>S-750</t>
  </si>
  <si>
    <t>MÉTODO DE ENVÍO ORIGEN</t>
  </si>
  <si>
    <t>MÉTODO DE ENVÍO 2</t>
  </si>
  <si>
    <t>S-650</t>
  </si>
  <si>
    <t>SAN JAVIER</t>
  </si>
  <si>
    <t>SANTA ROSA</t>
  </si>
  <si>
    <t>S-620-1</t>
  </si>
  <si>
    <t>S-630-1</t>
  </si>
  <si>
    <t>S-690-1</t>
  </si>
  <si>
    <t>S-620-2</t>
  </si>
  <si>
    <t>S-620-4</t>
  </si>
  <si>
    <t>S-630-3</t>
  </si>
  <si>
    <t>S-620-3</t>
  </si>
  <si>
    <t>SAN RAMÓN</t>
  </si>
  <si>
    <t>S-630-2</t>
  </si>
  <si>
    <t>S-690-2</t>
  </si>
  <si>
    <t>Z-700</t>
  </si>
  <si>
    <t>S-660</t>
  </si>
  <si>
    <t>Z-800</t>
  </si>
  <si>
    <t>S-612-1</t>
  </si>
  <si>
    <t>INC-1</t>
  </si>
  <si>
    <t>INC-2</t>
  </si>
  <si>
    <t>INC-3</t>
  </si>
  <si>
    <t>INC-4</t>
  </si>
  <si>
    <t>INC-5</t>
  </si>
  <si>
    <t>INC-6</t>
  </si>
  <si>
    <t>INC-7</t>
  </si>
  <si>
    <t>INC-8</t>
  </si>
  <si>
    <t>INC-9</t>
  </si>
  <si>
    <t>INCENTIVOS ALCORNOCAL</t>
  </si>
  <si>
    <t>S-660-1</t>
  </si>
  <si>
    <t>S-630-4</t>
  </si>
  <si>
    <t>GUARAYOS (CAMIÓN COMPLETO A GUARAYOS)</t>
  </si>
  <si>
    <t>CERDOS LOCAL WARNES</t>
  </si>
  <si>
    <t>CERDOS-MONTERO</t>
  </si>
  <si>
    <t>INCENTIVOS - BRECHAS/RIO GRANDE</t>
  </si>
  <si>
    <t>RECOJO DE DEVOLUCIONES</t>
  </si>
  <si>
    <t>NEGATIVA DE RUTAS</t>
  </si>
  <si>
    <t>SECOS MAYORISTAS</t>
  </si>
  <si>
    <t>HUEVO MAYORISTAS</t>
  </si>
  <si>
    <t>SECOS MATARAL</t>
  </si>
  <si>
    <t>MAÑANA/TARDE</t>
  </si>
  <si>
    <t>DEVOLUCIONES</t>
  </si>
  <si>
    <t>LLAVE PRINCIPAL</t>
  </si>
  <si>
    <t>PSC-003</t>
  </si>
  <si>
    <t>PSC-001</t>
  </si>
  <si>
    <t>SECOS COTOCA</t>
  </si>
  <si>
    <t>SECOS WARNES</t>
  </si>
  <si>
    <t>SECOS TORNO</t>
  </si>
  <si>
    <t>SECOS MONTERO</t>
  </si>
  <si>
    <t>RUTA DE CERDO LOCAL QUE VAYA A SATÉLITE-WARNES</t>
  </si>
  <si>
    <t>RUTA DE CERDO LOCAL QUE VAYA A MONTERO</t>
  </si>
  <si>
    <t>MÉTODO EN FUNCIÓN AL PUEBLO DONDE FINALIZA LA RUTA.</t>
  </si>
  <si>
    <t>ENVÍOS POR RECLAMO</t>
  </si>
  <si>
    <t>ENVÍOS ESPECIALES CON DISTRIBUIDOR DE SOFIA (INCLUYE BIANETH, ETC.).</t>
  </si>
  <si>
    <t>KFC MENOR O IGUAL A 1500 KG.</t>
  </si>
  <si>
    <t>KFC MAYOR A 1500 KG.</t>
  </si>
  <si>
    <t>RUTAS POR ENCIMA DE 5 CLIENTES Y QUE NO SEAN MAYORISTAS.</t>
  </si>
  <si>
    <t>HUE-1</t>
  </si>
  <si>
    <t>ALCORNOCAL</t>
  </si>
  <si>
    <t>INCENTIVO ALCORNOCAL</t>
  </si>
  <si>
    <t>INCENTIVOS EN FUNCIÓN A LA DIRECCIÓN.</t>
  </si>
  <si>
    <t>SS-230</t>
  </si>
  <si>
    <t>PEDRO LORENZO</t>
  </si>
  <si>
    <t>SI LA RUTA PLANIFIK INCLUYE PEDRO LORENZO.</t>
  </si>
  <si>
    <t>DE 1 A 5 CLIENTES MAYORISTAS.</t>
  </si>
  <si>
    <t>PSC-002</t>
  </si>
  <si>
    <t>CLIENTES MAYORISTAS + CLIENTES PARTICULARES POR ENCIMA DE 3000 KG.</t>
  </si>
  <si>
    <t>EN FUNCIÓN A DONDE VAYA LA RUTA.</t>
  </si>
  <si>
    <t>KFC &lt;= 1100 KG</t>
  </si>
  <si>
    <t>KFC &gt; 1100 KG</t>
  </si>
  <si>
    <t>CON NUESTROS AYUDANTES</t>
  </si>
  <si>
    <t>HUE-2</t>
  </si>
  <si>
    <t>SECOS CON PERSONAL SOFIA</t>
  </si>
  <si>
    <t>Z-800-1</t>
  </si>
  <si>
    <t>Z-700-1</t>
  </si>
  <si>
    <t>ENVIOS ESPECIALES DENTRO 8VO ANILLO</t>
  </si>
  <si>
    <t>ENVIOS ESPECIALES FUERA DEL 8VO ANILLO</t>
  </si>
  <si>
    <t>ENVIOS POR RECLAMO DENTRO 8VO ANILLO</t>
  </si>
  <si>
    <t>ENVIOS POR RECLAMO FUERA DEL 8VO ANILLO</t>
  </si>
  <si>
    <t>ENVIOS ESPECIALES HASTA 8VO ANILLO</t>
  </si>
  <si>
    <t>ENVIOS POR RECLAMO HASTA 8VO ANILLO</t>
  </si>
  <si>
    <t>5 (MS-020) 12 TN</t>
  </si>
  <si>
    <t>MS-020-1</t>
  </si>
  <si>
    <t>CAMIÓN DE 12 TN</t>
  </si>
  <si>
    <t>2 (MS-050) 12 TN</t>
  </si>
  <si>
    <t>MS-050-1</t>
  </si>
  <si>
    <t>RUTA 5 12 TN</t>
  </si>
  <si>
    <t>RUTA 2 12 TN</t>
  </si>
  <si>
    <t>SS-200</t>
  </si>
  <si>
    <t>HUEVO CON PERSONAL SOFIA</t>
  </si>
  <si>
    <t>HERMAN FRIESSEN + CLIENTES</t>
  </si>
  <si>
    <t>BIANETH Y QUE SEA UN HACHERO SIN DISTRIBUIDOR DE SOFIA</t>
  </si>
  <si>
    <t>HERMAN FRIESSEN</t>
  </si>
  <si>
    <t>RUTEO MADRUGADA + FRIESSEN</t>
  </si>
  <si>
    <t>FRIESSEN</t>
  </si>
  <si>
    <t>RUTAS DE 1 A 5 CLIENTES MAYORISTAS.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</si>
</sst>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2" fillId="0" borderId="5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" xfId="0" applyBorder="1"/>
    <xf numFmtId="0" fontId="1" fillId="3" borderId="5" xfId="0" applyFont="1" applyFill="1" applyBorder="1"/>
    <xf numFmtId="0" fontId="0" fillId="3" borderId="1" xfId="0" applyFill="1" applyBorder="1"/>
    <xf numFmtId="0" fontId="1" fillId="4" borderId="5" xfId="0" applyFont="1" applyFill="1" applyBorder="1"/>
    <xf numFmtId="0" fontId="0" fillId="4" borderId="5" xfId="0" applyFill="1" applyBorder="1"/>
    <xf numFmtId="0" fontId="3" fillId="0" borderId="10" xfId="0" applyFont="1" applyBorder="1"/>
    <xf numFmtId="0" fontId="2" fillId="0" borderId="4" xfId="0" applyFont="1" applyBorder="1"/>
    <xf numFmtId="0" fontId="3" fillId="0" borderId="5" xfId="0" applyFont="1" applyBorder="1"/>
    <xf numFmtId="0" fontId="0" fillId="0" borderId="10" xfId="0" applyBorder="1"/>
    <xf numFmtId="0" fontId="0" fillId="5" borderId="5" xfId="0" applyFill="1" applyBorder="1"/>
    <xf numFmtId="0" fontId="4" fillId="0" borderId="5" xfId="0" applyFont="1" applyBorder="1"/>
    <xf numFmtId="0" fontId="0" fillId="0" borderId="11" xfId="0" applyBorder="1"/>
    <xf numFmtId="0" fontId="1" fillId="6" borderId="2" xfId="0" applyFont="1" applyFill="1" applyBorder="1" applyAlignment="1">
      <alignment horizontal="center" vertical="center"/>
    </xf>
    <xf numFmtId="0" fontId="5" fillId="0" borderId="5" xfId="0" applyFont="1" applyBorder="1"/>
    <xf numFmtId="0" fontId="1" fillId="2" borderId="5" xfId="0" applyFont="1" applyFill="1" applyBorder="1" applyAlignment="1">
      <alignment horizontal="center" vertical="center"/>
    </xf>
    <xf numFmtId="0" fontId="0" fillId="7" borderId="5" xfId="0" applyFill="1" applyBorder="1"/>
    <xf numFmtId="0" fontId="6" fillId="0" borderId="4" xfId="0" applyFont="1" applyBorder="1"/>
  </cellXfs>
  <cellStyles count="1">
    <cellStyle name="Normal" xfId="0" builtinId="0"/>
  </cellStyles>
  <dxfs count="14">
    <dxf>
      <font>
        <color rgb="FF9C0006"/>
      </font>
      <fill>
        <patternFill>
          <bgColor rgb="FFFFC7CE"/>
        </patternFill>
      </fill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6DE9A6-9763-4D26-9880-EF154EEA3668}" name="Tabla5" displayName="Tabla5" ref="A1:I90" totalsRowShown="0" headerRowDxfId="13" headerRowBorderDxfId="12" tableBorderDxfId="11" totalsRowBorderDxfId="10">
  <autoFilter ref="A1:I90" xr:uid="{C26DE9A6-9763-4D26-9880-EF154EEA3668}">
    <filterColumn colId="4">
      <filters>
        <filter val="HUEVO"/>
        <filter val="SECOS"/>
      </filters>
    </filterColumn>
  </autoFilter>
  <sortState xmlns:xlrd2="http://schemas.microsoft.com/office/spreadsheetml/2017/richdata2" ref="A2:I90">
    <sortCondition ref="E1:E90"/>
  </sortState>
  <tableColumns count="9">
    <tableColumn id="9" xr3:uid="{0196849F-3524-42A6-B22F-8B49077FED82}" name="LLAVE PRINCIPAL" dataDxfId="9">
      <calculatedColumnFormula>CONCATENATE(Tabla5[[#This Row],[MÉTODO DE ENVÍO 2]],Tabla5[[#This Row],[RUTA MADRE EBS]])</calculatedColumnFormula>
    </tableColumn>
    <tableColumn id="8" xr3:uid="{446B88C4-A294-4085-99C3-7519BF8A68B6}" name="MÉTODO DE ENVÍO ORIGEN" dataDxfId="8"/>
    <tableColumn id="6" xr3:uid="{9F90E7C1-FEDB-4068-A5D9-518C59AAD723}" name="MÉTODO DE ENVÍO 2" dataDxfId="7"/>
    <tableColumn id="2" xr3:uid="{C1D20B00-1B45-44D0-B438-60B96E8CEADF}" name="RUTA HIJA ASIGNACIÓN" dataDxfId="6"/>
    <tableColumn id="1" xr3:uid="{12B483F6-31F6-417E-B853-B6812BC514F7}" name="RUTA MADRE EBS" dataDxfId="5"/>
    <tableColumn id="3" xr3:uid="{8534BB38-BE57-49CF-9A15-8E19FB6272F3}" name="RUTA MADRE CONTRATO" dataDxfId="4"/>
    <tableColumn id="4" xr3:uid="{EABAD4C5-0051-45DF-8F64-1348D6D4BF0A}" name="RUTA HIJA CONTRATO" dataDxfId="3"/>
    <tableColumn id="5" xr3:uid="{59A6ABAF-D605-41F3-9F58-71E2DD8EBDC6}" name="OBSERVACIÓN" dataDxfId="2"/>
    <tableColumn id="7" xr3:uid="{F4D6E2C7-3BDC-4329-89C5-2337AAE07D38}" name="FLET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EABE8-AB3F-4C26-A9BE-1412AD22B7A9}">
  <dimension ref="A1:I90"/>
  <sheetViews>
    <sheetView tabSelected="1" topLeftCell="D1" workbookViewId="0">
      <selection activeCell="H35" sqref="H35"/>
    </sheetView>
  </sheetViews>
  <sheetFormatPr baseColWidth="10" defaultRowHeight="14.4" x14ac:dyDescent="0.3"/>
  <cols>
    <col min="1" max="1" width="24.33203125" bestFit="1" customWidth="1"/>
    <col min="2" max="2" width="28.109375" bestFit="1" customWidth="1"/>
    <col min="3" max="3" width="16.44140625" bestFit="1" customWidth="1"/>
    <col min="4" max="4" width="36" bestFit="1" customWidth="1"/>
    <col min="5" max="5" width="19.5546875" bestFit="1" customWidth="1"/>
    <col min="6" max="6" width="25.77734375" bestFit="1" customWidth="1"/>
    <col min="7" max="7" width="38.21875" bestFit="1" customWidth="1"/>
    <col min="8" max="8" width="63.5546875" bestFit="1" customWidth="1"/>
  </cols>
  <sheetData>
    <row r="1" spans="1:9" x14ac:dyDescent="0.3">
      <c r="A1" s="24" t="s">
        <v>165</v>
      </c>
      <c r="B1" s="1" t="s">
        <v>123</v>
      </c>
      <c r="C1" s="1" t="s">
        <v>124</v>
      </c>
      <c r="D1" s="1" t="s">
        <v>0</v>
      </c>
      <c r="E1" s="22" t="s">
        <v>1</v>
      </c>
      <c r="F1" s="1" t="s">
        <v>2</v>
      </c>
      <c r="G1" s="1" t="s">
        <v>3</v>
      </c>
      <c r="H1" s="2" t="s">
        <v>4</v>
      </c>
      <c r="I1" s="1" t="s">
        <v>110</v>
      </c>
    </row>
    <row r="2" spans="1:9" hidden="1" x14ac:dyDescent="0.3">
      <c r="A2" s="4" t="str">
        <f>CONCATENATE(Tabla5[[#This Row],[MÉTODO DE ENVÍO 2]],Tabla5[[#This Row],[RUTA MADRE EBS]])</f>
        <v>2°_VUELTA</v>
      </c>
      <c r="B2" s="10"/>
      <c r="C2" s="12"/>
      <c r="D2" s="3" t="s">
        <v>5</v>
      </c>
      <c r="E2" s="3" t="s">
        <v>5</v>
      </c>
      <c r="F2" s="4" t="s">
        <v>6</v>
      </c>
      <c r="G2" s="5" t="s">
        <v>7</v>
      </c>
      <c r="H2" s="10" t="s">
        <v>214</v>
      </c>
      <c r="I2" s="12">
        <v>550</v>
      </c>
    </row>
    <row r="3" spans="1:9" hidden="1" x14ac:dyDescent="0.3">
      <c r="A3" s="4" t="str">
        <f>CONCATENATE(Tabla5[[#This Row],[MÉTODO DE ENVÍO 2]],Tabla5[[#This Row],[RUTA MADRE EBS]])</f>
        <v>MS-010APOYO</v>
      </c>
      <c r="B3" s="4" t="s">
        <v>100</v>
      </c>
      <c r="C3" s="4" t="s">
        <v>100</v>
      </c>
      <c r="D3" s="4" t="s">
        <v>8</v>
      </c>
      <c r="E3" s="3" t="s">
        <v>9</v>
      </c>
      <c r="F3" s="4" t="s">
        <v>10</v>
      </c>
      <c r="G3" s="4" t="s">
        <v>11</v>
      </c>
      <c r="H3" s="6"/>
      <c r="I3" s="10">
        <v>450</v>
      </c>
    </row>
    <row r="4" spans="1:9" hidden="1" x14ac:dyDescent="0.3">
      <c r="A4" s="4" t="str">
        <f>CONCATENATE(Tabla5[[#This Row],[MÉTODO DE ENVÍO 2]],Tabla5[[#This Row],[RUTA MADRE EBS]])</f>
        <v>MS-022APOYO</v>
      </c>
      <c r="B4" s="4" t="s">
        <v>101</v>
      </c>
      <c r="C4" s="4" t="s">
        <v>101</v>
      </c>
      <c r="D4" s="4" t="s">
        <v>12</v>
      </c>
      <c r="E4" s="3" t="s">
        <v>9</v>
      </c>
      <c r="F4" s="4" t="s">
        <v>10</v>
      </c>
      <c r="G4" s="4" t="s">
        <v>13</v>
      </c>
      <c r="H4" s="6"/>
      <c r="I4" s="10">
        <v>490</v>
      </c>
    </row>
    <row r="5" spans="1:9" hidden="1" x14ac:dyDescent="0.3">
      <c r="A5" s="4" t="str">
        <f>CONCATENATE(Tabla5[[#This Row],[MÉTODO DE ENVÍO 2]],Tabla5[[#This Row],[RUTA MADRE EBS]])</f>
        <v>MS-050APOYO</v>
      </c>
      <c r="B5" s="4" t="s">
        <v>102</v>
      </c>
      <c r="C5" s="4" t="s">
        <v>102</v>
      </c>
      <c r="D5" s="4" t="s">
        <v>14</v>
      </c>
      <c r="E5" s="3" t="s">
        <v>9</v>
      </c>
      <c r="F5" s="4" t="s">
        <v>10</v>
      </c>
      <c r="G5" s="4" t="s">
        <v>15</v>
      </c>
      <c r="H5" s="6"/>
      <c r="I5" s="10">
        <v>470</v>
      </c>
    </row>
    <row r="6" spans="1:9" hidden="1" x14ac:dyDescent="0.3">
      <c r="A6" s="4" t="str">
        <f>CONCATENATE(Tabla5[[#This Row],[MÉTODO DE ENVÍO 2]],Tabla5[[#This Row],[RUTA MADRE EBS]])</f>
        <v>MS-020APOYO</v>
      </c>
      <c r="B6" s="4" t="s">
        <v>103</v>
      </c>
      <c r="C6" s="4" t="s">
        <v>103</v>
      </c>
      <c r="D6" s="4" t="s">
        <v>16</v>
      </c>
      <c r="E6" s="3" t="s">
        <v>9</v>
      </c>
      <c r="F6" s="4" t="s">
        <v>10</v>
      </c>
      <c r="G6" s="4" t="s">
        <v>17</v>
      </c>
      <c r="H6" s="6"/>
      <c r="I6" s="10">
        <v>450</v>
      </c>
    </row>
    <row r="7" spans="1:9" hidden="1" x14ac:dyDescent="0.3">
      <c r="A7" s="4" t="str">
        <f>CONCATENATE(Tabla5[[#This Row],[MÉTODO DE ENVÍO 2]],Tabla5[[#This Row],[RUTA MADRE EBS]])</f>
        <v>MS-030APOYO</v>
      </c>
      <c r="B7" s="4" t="s">
        <v>104</v>
      </c>
      <c r="C7" s="4" t="s">
        <v>104</v>
      </c>
      <c r="D7" s="4" t="s">
        <v>18</v>
      </c>
      <c r="E7" s="3" t="s">
        <v>9</v>
      </c>
      <c r="F7" s="4" t="s">
        <v>10</v>
      </c>
      <c r="G7" s="4" t="s">
        <v>19</v>
      </c>
      <c r="H7" s="6"/>
      <c r="I7" s="10">
        <v>460</v>
      </c>
    </row>
    <row r="8" spans="1:9" hidden="1" x14ac:dyDescent="0.3">
      <c r="A8" s="4" t="str">
        <f>CONCATENATE(Tabla5[[#This Row],[MÉTODO DE ENVÍO 2]],Tabla5[[#This Row],[RUTA MADRE EBS]])</f>
        <v>MS-220APOYO</v>
      </c>
      <c r="B8" s="4" t="s">
        <v>105</v>
      </c>
      <c r="C8" s="4" t="s">
        <v>105</v>
      </c>
      <c r="D8" s="4" t="s">
        <v>20</v>
      </c>
      <c r="E8" s="3" t="s">
        <v>9</v>
      </c>
      <c r="F8" s="4" t="s">
        <v>10</v>
      </c>
      <c r="G8" s="4" t="s">
        <v>21</v>
      </c>
      <c r="H8" s="6"/>
      <c r="I8" s="10">
        <v>470</v>
      </c>
    </row>
    <row r="9" spans="1:9" hidden="1" x14ac:dyDescent="0.3">
      <c r="A9" s="4" t="str">
        <f>CONCATENATE(Tabla5[[#This Row],[MÉTODO DE ENVÍO 2]],Tabla5[[#This Row],[RUTA MADRE EBS]])</f>
        <v>MS-040APOYO</v>
      </c>
      <c r="B9" s="4" t="s">
        <v>106</v>
      </c>
      <c r="C9" s="4" t="s">
        <v>106</v>
      </c>
      <c r="D9" s="4" t="s">
        <v>22</v>
      </c>
      <c r="E9" s="3" t="s">
        <v>9</v>
      </c>
      <c r="F9" s="4" t="s">
        <v>10</v>
      </c>
      <c r="G9" s="4" t="s">
        <v>23</v>
      </c>
      <c r="H9" s="6"/>
      <c r="I9" s="10">
        <v>480</v>
      </c>
    </row>
    <row r="10" spans="1:9" hidden="1" x14ac:dyDescent="0.3">
      <c r="A10" s="4" t="str">
        <f>CONCATENATE(Tabla5[[#This Row],[MÉTODO DE ENVÍO 2]],Tabla5[[#This Row],[RUTA MADRE EBS]])</f>
        <v>MS-350APOYO</v>
      </c>
      <c r="B10" s="4" t="s">
        <v>107</v>
      </c>
      <c r="C10" s="4" t="s">
        <v>107</v>
      </c>
      <c r="D10" s="4" t="s">
        <v>24</v>
      </c>
      <c r="E10" s="3" t="s">
        <v>9</v>
      </c>
      <c r="F10" s="4" t="s">
        <v>10</v>
      </c>
      <c r="G10" s="4" t="s">
        <v>25</v>
      </c>
      <c r="H10" s="6"/>
      <c r="I10" s="10">
        <v>450</v>
      </c>
    </row>
    <row r="11" spans="1:9" hidden="1" x14ac:dyDescent="0.3">
      <c r="A11" s="4" t="str">
        <f>CONCATENATE(Tabla5[[#This Row],[MÉTODO DE ENVÍO 2]],Tabla5[[#This Row],[RUTA MADRE EBS]])</f>
        <v>S-120APOYO</v>
      </c>
      <c r="B11" s="4" t="s">
        <v>108</v>
      </c>
      <c r="C11" s="4" t="s">
        <v>108</v>
      </c>
      <c r="D11" s="4" t="s">
        <v>26</v>
      </c>
      <c r="E11" s="3" t="s">
        <v>9</v>
      </c>
      <c r="F11" s="4" t="s">
        <v>10</v>
      </c>
      <c r="G11" s="4" t="s">
        <v>27</v>
      </c>
      <c r="H11" s="6"/>
      <c r="I11" s="10">
        <v>990</v>
      </c>
    </row>
    <row r="12" spans="1:9" hidden="1" x14ac:dyDescent="0.3">
      <c r="A12" s="4" t="str">
        <f>CONCATENATE(Tabla5[[#This Row],[MÉTODO DE ENVÍO 2]],Tabla5[[#This Row],[RUTA MADRE EBS]])</f>
        <v>S-017APOYO</v>
      </c>
      <c r="B12" s="4" t="s">
        <v>109</v>
      </c>
      <c r="C12" s="4" t="s">
        <v>109</v>
      </c>
      <c r="D12" s="4" t="s">
        <v>28</v>
      </c>
      <c r="E12" s="3" t="s">
        <v>9</v>
      </c>
      <c r="F12" s="4" t="s">
        <v>10</v>
      </c>
      <c r="G12" s="4" t="s">
        <v>29</v>
      </c>
      <c r="H12" s="6"/>
      <c r="I12" s="10">
        <v>680</v>
      </c>
    </row>
    <row r="13" spans="1:9" hidden="1" x14ac:dyDescent="0.3">
      <c r="A13" s="4" t="str">
        <f>CONCATENATE(Tabla5[[#This Row],[MÉTODO DE ENVÍO 2]],Tabla5[[#This Row],[RUTA MADRE EBS]])</f>
        <v>CERDO_LOCAL</v>
      </c>
      <c r="B13" s="4" t="s">
        <v>111</v>
      </c>
      <c r="C13" s="4"/>
      <c r="D13" s="4" t="s">
        <v>30</v>
      </c>
      <c r="E13" s="3" t="s">
        <v>31</v>
      </c>
      <c r="F13" s="4" t="s">
        <v>10</v>
      </c>
      <c r="G13" s="4" t="s">
        <v>32</v>
      </c>
      <c r="H13" s="6"/>
      <c r="I13" s="10">
        <v>950</v>
      </c>
    </row>
    <row r="14" spans="1:9" hidden="1" x14ac:dyDescent="0.3">
      <c r="A14" s="4" t="str">
        <f>CONCATENATE(Tabla5[[#This Row],[MÉTODO DE ENVÍO 2]],Tabla5[[#This Row],[RUTA MADRE EBS]])</f>
        <v>S-017CERDO_LOCAL</v>
      </c>
      <c r="B14" s="4" t="s">
        <v>109</v>
      </c>
      <c r="C14" s="4" t="s">
        <v>109</v>
      </c>
      <c r="D14" s="15" t="s">
        <v>155</v>
      </c>
      <c r="E14" s="3" t="s">
        <v>31</v>
      </c>
      <c r="F14" s="4" t="s">
        <v>10</v>
      </c>
      <c r="G14" s="4" t="s">
        <v>32</v>
      </c>
      <c r="H14" s="4" t="s">
        <v>172</v>
      </c>
      <c r="I14" s="10">
        <v>1100</v>
      </c>
    </row>
    <row r="15" spans="1:9" hidden="1" x14ac:dyDescent="0.3">
      <c r="A15" s="4" t="str">
        <f>CONCATENATE(Tabla5[[#This Row],[MÉTODO DE ENVÍO 2]],Tabla5[[#This Row],[RUTA MADRE EBS]])</f>
        <v>S-120CERDO_LOCAL</v>
      </c>
      <c r="B15" s="4" t="s">
        <v>108</v>
      </c>
      <c r="C15" s="4" t="s">
        <v>108</v>
      </c>
      <c r="D15" s="15" t="s">
        <v>156</v>
      </c>
      <c r="E15" s="3" t="s">
        <v>31</v>
      </c>
      <c r="F15" s="4" t="s">
        <v>10</v>
      </c>
      <c r="G15" s="4" t="s">
        <v>32</v>
      </c>
      <c r="H15" s="4" t="s">
        <v>173</v>
      </c>
      <c r="I15" s="10">
        <v>1300</v>
      </c>
    </row>
    <row r="16" spans="1:9" hidden="1" x14ac:dyDescent="0.3">
      <c r="A16" s="4" t="str">
        <f>CONCATENATE(Tabla5[[#This Row],[MÉTODO DE ENVÍO 2]],Tabla5[[#This Row],[RUTA MADRE EBS]])</f>
        <v>S-690CERDO_PROVINCIA</v>
      </c>
      <c r="B16" s="4" t="s">
        <v>119</v>
      </c>
      <c r="C16" s="4" t="s">
        <v>119</v>
      </c>
      <c r="D16" s="4" t="s">
        <v>37</v>
      </c>
      <c r="E16" s="3" t="s">
        <v>33</v>
      </c>
      <c r="F16" s="4" t="s">
        <v>34</v>
      </c>
      <c r="G16" s="4" t="s">
        <v>37</v>
      </c>
      <c r="H16" s="4" t="s">
        <v>174</v>
      </c>
      <c r="I16" s="10">
        <v>5700</v>
      </c>
    </row>
    <row r="17" spans="1:9" hidden="1" x14ac:dyDescent="0.3">
      <c r="A17" s="4" t="str">
        <f>CONCATENATE(Tabla5[[#This Row],[MÉTODO DE ENVÍO 2]],Tabla5[[#This Row],[RUTA MADRE EBS]])</f>
        <v>S-630CERDO_PROVINCIA</v>
      </c>
      <c r="B17" s="4" t="s">
        <v>121</v>
      </c>
      <c r="C17" s="4" t="s">
        <v>121</v>
      </c>
      <c r="D17" s="4" t="s">
        <v>41</v>
      </c>
      <c r="E17" s="3" t="s">
        <v>33</v>
      </c>
      <c r="F17" s="4" t="s">
        <v>34</v>
      </c>
      <c r="G17" s="4" t="s">
        <v>41</v>
      </c>
      <c r="H17" s="4" t="s">
        <v>174</v>
      </c>
      <c r="I17" s="10">
        <v>4500</v>
      </c>
    </row>
    <row r="18" spans="1:9" hidden="1" x14ac:dyDescent="0.3">
      <c r="A18" s="4" t="str">
        <f>CONCATENATE(Tabla5[[#This Row],[MÉTODO DE ENVÍO 2]],Tabla5[[#This Row],[RUTA MADRE EBS]])</f>
        <v>S-620-2CERDO_PROVINCIA</v>
      </c>
      <c r="B18" s="4" t="s">
        <v>120</v>
      </c>
      <c r="C18" s="13" t="s">
        <v>131</v>
      </c>
      <c r="D18" s="4" t="s">
        <v>35</v>
      </c>
      <c r="E18" s="3" t="s">
        <v>33</v>
      </c>
      <c r="F18" s="4" t="s">
        <v>34</v>
      </c>
      <c r="G18" s="4" t="s">
        <v>35</v>
      </c>
      <c r="H18" s="4" t="s">
        <v>174</v>
      </c>
      <c r="I18" s="10">
        <v>4000</v>
      </c>
    </row>
    <row r="19" spans="1:9" hidden="1" x14ac:dyDescent="0.3">
      <c r="A19" s="4" t="str">
        <f>CONCATENATE(Tabla5[[#This Row],[MÉTODO DE ENVÍO 2]],Tabla5[[#This Row],[RUTA MADRE EBS]])</f>
        <v>S-620-4CERDO_PROVINCIA</v>
      </c>
      <c r="B19" s="4" t="s">
        <v>120</v>
      </c>
      <c r="C19" s="13" t="s">
        <v>132</v>
      </c>
      <c r="D19" s="4" t="s">
        <v>38</v>
      </c>
      <c r="E19" s="3" t="s">
        <v>33</v>
      </c>
      <c r="F19" s="4" t="s">
        <v>34</v>
      </c>
      <c r="G19" s="4" t="s">
        <v>38</v>
      </c>
      <c r="H19" s="4" t="s">
        <v>174</v>
      </c>
      <c r="I19" s="10">
        <v>6500</v>
      </c>
    </row>
    <row r="20" spans="1:9" hidden="1" x14ac:dyDescent="0.3">
      <c r="A20" s="4" t="str">
        <f>CONCATENATE(Tabla5[[#This Row],[MÉTODO DE ENVÍO 2]],Tabla5[[#This Row],[RUTA MADRE EBS]])</f>
        <v>S-620CERDO_PROVINCIA</v>
      </c>
      <c r="B20" s="4" t="s">
        <v>120</v>
      </c>
      <c r="C20" s="4" t="s">
        <v>120</v>
      </c>
      <c r="D20" s="4" t="s">
        <v>39</v>
      </c>
      <c r="E20" s="3" t="s">
        <v>33</v>
      </c>
      <c r="F20" s="4" t="s">
        <v>34</v>
      </c>
      <c r="G20" s="4" t="s">
        <v>39</v>
      </c>
      <c r="H20" s="4" t="s">
        <v>174</v>
      </c>
      <c r="I20" s="10">
        <v>7100</v>
      </c>
    </row>
    <row r="21" spans="1:9" hidden="1" x14ac:dyDescent="0.3">
      <c r="A21" s="4" t="str">
        <f>CONCATENATE(Tabla5[[#This Row],[MÉTODO DE ENVÍO 2]],Tabla5[[#This Row],[RUTA MADRE EBS]])</f>
        <v>S-690-2CERDO_PROVINCIA</v>
      </c>
      <c r="B21" s="4" t="s">
        <v>119</v>
      </c>
      <c r="C21" s="13" t="s">
        <v>137</v>
      </c>
      <c r="D21" s="4" t="s">
        <v>40</v>
      </c>
      <c r="E21" s="3" t="s">
        <v>33</v>
      </c>
      <c r="F21" s="4" t="s">
        <v>34</v>
      </c>
      <c r="G21" s="4" t="s">
        <v>40</v>
      </c>
      <c r="H21" s="4" t="s">
        <v>174</v>
      </c>
      <c r="I21" s="10">
        <v>4000</v>
      </c>
    </row>
    <row r="22" spans="1:9" hidden="1" x14ac:dyDescent="0.3">
      <c r="A22" s="4" t="str">
        <f>CONCATENATE(Tabla5[[#This Row],[MÉTODO DE ENVÍO 2]],Tabla5[[#This Row],[RUTA MADRE EBS]])</f>
        <v>S-750CERDO_PROVINCIA</v>
      </c>
      <c r="B22" s="4" t="s">
        <v>122</v>
      </c>
      <c r="C22" s="4" t="s">
        <v>122</v>
      </c>
      <c r="D22" s="4" t="s">
        <v>36</v>
      </c>
      <c r="E22" s="3" t="s">
        <v>33</v>
      </c>
      <c r="F22" s="4" t="s">
        <v>34</v>
      </c>
      <c r="G22" s="4" t="s">
        <v>36</v>
      </c>
      <c r="H22" s="4" t="s">
        <v>174</v>
      </c>
      <c r="I22" s="10">
        <v>7100</v>
      </c>
    </row>
    <row r="23" spans="1:9" hidden="1" x14ac:dyDescent="0.3">
      <c r="A23" s="4" t="str">
        <f>CONCATENATE(Tabla5[[#This Row],[MÉTODO DE ENVÍO 2]],Tabla5[[#This Row],[RUTA MADRE EBS]])</f>
        <v>S-016CERDO_PROVINCIA</v>
      </c>
      <c r="B23" s="4" t="s">
        <v>116</v>
      </c>
      <c r="C23" s="4" t="s">
        <v>116</v>
      </c>
      <c r="D23" s="4" t="s">
        <v>42</v>
      </c>
      <c r="E23" s="3" t="s">
        <v>33</v>
      </c>
      <c r="F23" s="4" t="s">
        <v>34</v>
      </c>
      <c r="G23" s="4" t="s">
        <v>42</v>
      </c>
      <c r="H23" s="4" t="s">
        <v>174</v>
      </c>
      <c r="I23" s="10">
        <v>2200</v>
      </c>
    </row>
    <row r="24" spans="1:9" hidden="1" x14ac:dyDescent="0.3">
      <c r="A24" s="4" t="str">
        <f>CONCATENATE(Tabla5[[#This Row],[MÉTODO DE ENVÍO 2]],Tabla5[[#This Row],[RUTA MADRE EBS]])</f>
        <v>DEVOLUCIONES</v>
      </c>
      <c r="B24" s="4"/>
      <c r="C24" s="4"/>
      <c r="D24" s="18" t="s">
        <v>158</v>
      </c>
      <c r="E24" s="3" t="s">
        <v>164</v>
      </c>
      <c r="F24" s="4"/>
      <c r="G24" s="4"/>
      <c r="H24" s="6"/>
      <c r="I24" s="10">
        <v>500</v>
      </c>
    </row>
    <row r="25" spans="1:9" hidden="1" x14ac:dyDescent="0.3">
      <c r="A25" s="4" t="str">
        <f>CONCATENATE(Tabla5[[#This Row],[MÉTODO DE ENVÍO 2]],Tabla5[[#This Row],[RUTA MADRE EBS]])</f>
        <v>Z-700ENVIOS_ESPECIALES</v>
      </c>
      <c r="B25" s="4" t="s">
        <v>138</v>
      </c>
      <c r="C25" s="4" t="s">
        <v>138</v>
      </c>
      <c r="D25" s="4" t="s">
        <v>198</v>
      </c>
      <c r="E25" s="3" t="s">
        <v>43</v>
      </c>
      <c r="F25" s="4" t="s">
        <v>44</v>
      </c>
      <c r="G25" s="4" t="s">
        <v>202</v>
      </c>
      <c r="H25" s="4" t="s">
        <v>176</v>
      </c>
      <c r="I25" s="10">
        <v>370</v>
      </c>
    </row>
    <row r="26" spans="1:9" hidden="1" x14ac:dyDescent="0.3">
      <c r="A26" s="4" t="str">
        <f>CONCATENATE(Tabla5[[#This Row],[MÉTODO DE ENVÍO 2]],Tabla5[[#This Row],[RUTA MADRE EBS]])</f>
        <v>Z-700-1ENVIOS_ESPECIALES</v>
      </c>
      <c r="B26" s="4" t="s">
        <v>138</v>
      </c>
      <c r="C26" s="25" t="s">
        <v>197</v>
      </c>
      <c r="D26" s="4" t="s">
        <v>199</v>
      </c>
      <c r="E26" s="3" t="s">
        <v>43</v>
      </c>
      <c r="F26" s="4" t="s">
        <v>44</v>
      </c>
      <c r="G26" s="4" t="s">
        <v>199</v>
      </c>
      <c r="H26" s="4"/>
      <c r="I26" s="10">
        <v>520</v>
      </c>
    </row>
    <row r="27" spans="1:9" hidden="1" x14ac:dyDescent="0.3">
      <c r="A27" s="4" t="str">
        <f>CONCATENATE(Tabla5[[#This Row],[MÉTODO DE ENVÍO 2]],Tabla5[[#This Row],[RUTA MADRE EBS]])</f>
        <v>Z-800ENVIOS_ESPECIALES</v>
      </c>
      <c r="B27" s="4" t="s">
        <v>140</v>
      </c>
      <c r="C27" s="4" t="s">
        <v>140</v>
      </c>
      <c r="D27" s="4" t="s">
        <v>200</v>
      </c>
      <c r="E27" s="3" t="s">
        <v>43</v>
      </c>
      <c r="F27" s="4" t="s">
        <v>44</v>
      </c>
      <c r="G27" s="4" t="s">
        <v>203</v>
      </c>
      <c r="H27" s="4" t="s">
        <v>175</v>
      </c>
      <c r="I27" s="10">
        <v>370</v>
      </c>
    </row>
    <row r="28" spans="1:9" hidden="1" x14ac:dyDescent="0.3">
      <c r="A28" s="4" t="str">
        <f>CONCATENATE(Tabla5[[#This Row],[MÉTODO DE ENVÍO 2]],Tabla5[[#This Row],[RUTA MADRE EBS]])</f>
        <v>Z-800-1ENVIOS_ESPECIALES</v>
      </c>
      <c r="B28" s="4" t="s">
        <v>140</v>
      </c>
      <c r="C28" s="25" t="s">
        <v>196</v>
      </c>
      <c r="D28" s="4" t="s">
        <v>201</v>
      </c>
      <c r="E28" s="3" t="s">
        <v>43</v>
      </c>
      <c r="F28" s="4" t="s">
        <v>44</v>
      </c>
      <c r="G28" s="4" t="s">
        <v>201</v>
      </c>
      <c r="H28" s="4"/>
      <c r="I28" s="10">
        <v>520</v>
      </c>
    </row>
    <row r="29" spans="1:9" hidden="1" x14ac:dyDescent="0.3">
      <c r="A29" s="4" t="str">
        <f>CONCATENATE(Tabla5[[#This Row],[MÉTODO DE ENVÍO 2]],Tabla5[[#This Row],[RUTA MADRE EBS]])</f>
        <v>S-660ENVIOS_ESPECIALES</v>
      </c>
      <c r="B29" s="4" t="s">
        <v>139</v>
      </c>
      <c r="C29" s="4" t="s">
        <v>139</v>
      </c>
      <c r="D29" s="15" t="s">
        <v>191</v>
      </c>
      <c r="E29" s="3" t="s">
        <v>43</v>
      </c>
      <c r="F29" s="4" t="s">
        <v>44</v>
      </c>
      <c r="G29" s="4" t="s">
        <v>45</v>
      </c>
      <c r="H29" s="4" t="s">
        <v>177</v>
      </c>
      <c r="I29" s="10">
        <v>550</v>
      </c>
    </row>
    <row r="30" spans="1:9" hidden="1" x14ac:dyDescent="0.3">
      <c r="A30" s="4" t="str">
        <f>CONCATENATE(Tabla5[[#This Row],[MÉTODO DE ENVÍO 2]],Tabla5[[#This Row],[RUTA MADRE EBS]])</f>
        <v>S-660-1ENVIOS_ESPECIALES</v>
      </c>
      <c r="B30" s="4" t="s">
        <v>139</v>
      </c>
      <c r="C30" s="4" t="s">
        <v>152</v>
      </c>
      <c r="D30" s="17" t="s">
        <v>192</v>
      </c>
      <c r="E30" s="3" t="s">
        <v>43</v>
      </c>
      <c r="F30" s="3" t="s">
        <v>44</v>
      </c>
      <c r="G30" s="3" t="s">
        <v>45</v>
      </c>
      <c r="H30" s="4" t="s">
        <v>178</v>
      </c>
      <c r="I30" s="10">
        <v>680</v>
      </c>
    </row>
    <row r="31" spans="1:9" hidden="1" x14ac:dyDescent="0.3">
      <c r="A31" s="4" t="str">
        <f>CONCATENATE(Tabla5[[#This Row],[MÉTODO DE ENVÍO 2]],Tabla5[[#This Row],[RUTA MADRE EBS]])</f>
        <v>SS-200ENVIOS_ESPECIALES</v>
      </c>
      <c r="B31" s="4"/>
      <c r="C31" s="4" t="s">
        <v>211</v>
      </c>
      <c r="D31" s="17" t="s">
        <v>217</v>
      </c>
      <c r="E31" s="3" t="s">
        <v>43</v>
      </c>
      <c r="F31" s="3"/>
      <c r="G31" s="3"/>
      <c r="H31" s="4" t="s">
        <v>215</v>
      </c>
      <c r="I31" s="12">
        <v>550</v>
      </c>
    </row>
    <row r="32" spans="1:9" hidden="1" x14ac:dyDescent="0.3">
      <c r="A32" s="4" t="str">
        <f>CONCATENATE(Tabla5[[#This Row],[MÉTODO DE ENVÍO 2]],Tabla5[[#This Row],[RUTA MADRE EBS]])</f>
        <v>SS-200RUTEO MADRUGADA</v>
      </c>
      <c r="B32" s="4"/>
      <c r="C32" s="4" t="s">
        <v>211</v>
      </c>
      <c r="D32" s="17" t="s">
        <v>216</v>
      </c>
      <c r="E32" s="3" t="s">
        <v>80</v>
      </c>
      <c r="F32" s="3" t="s">
        <v>44</v>
      </c>
      <c r="G32" s="3"/>
      <c r="H32" s="4" t="s">
        <v>213</v>
      </c>
      <c r="I32" s="10">
        <v>620</v>
      </c>
    </row>
    <row r="33" spans="1:9" x14ac:dyDescent="0.3">
      <c r="A33" s="4" t="str">
        <f>CONCATENATE(Tabla5[[#This Row],[MÉTODO DE ENVÍO 2]],Tabla5[[#This Row],[RUTA MADRE EBS]])</f>
        <v>HUEVO</v>
      </c>
      <c r="B33" s="4"/>
      <c r="C33" s="4"/>
      <c r="D33" s="4" t="s">
        <v>46</v>
      </c>
      <c r="E33" s="3" t="s">
        <v>46</v>
      </c>
      <c r="F33" s="4" t="s">
        <v>46</v>
      </c>
      <c r="G33" s="4" t="s">
        <v>46</v>
      </c>
      <c r="H33" s="4" t="s">
        <v>179</v>
      </c>
      <c r="I33" s="10">
        <v>750</v>
      </c>
    </row>
    <row r="34" spans="1:9" x14ac:dyDescent="0.3">
      <c r="A34" s="4" t="str">
        <f>CONCATENATE(Tabla5[[#This Row],[MÉTODO DE ENVÍO 2]],Tabla5[[#This Row],[RUTA MADRE EBS]])</f>
        <v>HUE-2HUEVO</v>
      </c>
      <c r="B34" s="4"/>
      <c r="C34" s="4" t="s">
        <v>194</v>
      </c>
      <c r="D34" s="23" t="s">
        <v>212</v>
      </c>
      <c r="E34" s="3" t="s">
        <v>46</v>
      </c>
      <c r="F34" s="4" t="s">
        <v>46</v>
      </c>
      <c r="G34" s="4" t="s">
        <v>46</v>
      </c>
      <c r="H34" s="23" t="s">
        <v>212</v>
      </c>
      <c r="I34" s="10">
        <v>600</v>
      </c>
    </row>
    <row r="35" spans="1:9" x14ac:dyDescent="0.3">
      <c r="A35" s="4" t="str">
        <f>CONCATENATE(Tabla5[[#This Row],[MÉTODO DE ENVÍO 2]],Tabla5[[#This Row],[RUTA MADRE EBS]])</f>
        <v>HUE-1HUEVO</v>
      </c>
      <c r="B35" s="4"/>
      <c r="C35" s="4" t="s">
        <v>180</v>
      </c>
      <c r="D35" s="4" t="s">
        <v>161</v>
      </c>
      <c r="E35" s="3" t="s">
        <v>46</v>
      </c>
      <c r="F35" s="4"/>
      <c r="G35" s="4"/>
      <c r="H35" s="4" t="s">
        <v>218</v>
      </c>
      <c r="I35" s="10">
        <v>650</v>
      </c>
    </row>
    <row r="36" spans="1:9" hidden="1" x14ac:dyDescent="0.3">
      <c r="A36" s="4" t="str">
        <f>CONCATENATE(Tabla5[[#This Row],[MÉTODO DE ENVÍO 2]],Tabla5[[#This Row],[RUTA MADRE EBS]])</f>
        <v>HUEVO GRANJA</v>
      </c>
      <c r="B36" s="4"/>
      <c r="C36" s="4"/>
      <c r="D36" s="4" t="s">
        <v>47</v>
      </c>
      <c r="E36" s="3" t="s">
        <v>47</v>
      </c>
      <c r="F36" s="5" t="s">
        <v>48</v>
      </c>
      <c r="G36" s="5" t="s">
        <v>48</v>
      </c>
      <c r="H36" s="6"/>
      <c r="I36" s="10">
        <v>1000</v>
      </c>
    </row>
    <row r="37" spans="1:9" hidden="1" x14ac:dyDescent="0.3">
      <c r="A37" s="4" t="str">
        <f>CONCATENATE(Tabla5[[#This Row],[MÉTODO DE ENVÍO 2]],Tabla5[[#This Row],[RUTA MADRE EBS]])</f>
        <v>INC-9INCENTIVO</v>
      </c>
      <c r="B37" s="4"/>
      <c r="C37" s="11" t="s">
        <v>150</v>
      </c>
      <c r="D37" s="19" t="s">
        <v>181</v>
      </c>
      <c r="E37" s="3" t="s">
        <v>84</v>
      </c>
      <c r="F37" s="4" t="s">
        <v>44</v>
      </c>
      <c r="G37" s="4" t="s">
        <v>182</v>
      </c>
      <c r="H37" s="4" t="s">
        <v>183</v>
      </c>
      <c r="I37" s="10">
        <v>500</v>
      </c>
    </row>
    <row r="38" spans="1:9" hidden="1" x14ac:dyDescent="0.3">
      <c r="A38" s="4" t="str">
        <f>CONCATENATE(Tabla5[[#This Row],[MÉTODO DE ENVÍO 2]],Tabla5[[#This Row],[RUTA MADRE EBS]])</f>
        <v>INC-5INCENTIVO</v>
      </c>
      <c r="B38" s="4"/>
      <c r="C38" s="11" t="s">
        <v>146</v>
      </c>
      <c r="D38" s="3" t="s">
        <v>85</v>
      </c>
      <c r="E38" s="3" t="s">
        <v>84</v>
      </c>
      <c r="F38" s="4" t="s">
        <v>44</v>
      </c>
      <c r="G38" s="4" t="s">
        <v>86</v>
      </c>
      <c r="H38" s="4" t="s">
        <v>183</v>
      </c>
      <c r="I38" s="10">
        <v>550</v>
      </c>
    </row>
    <row r="39" spans="1:9" hidden="1" x14ac:dyDescent="0.3">
      <c r="A39" s="4" t="str">
        <f>CONCATENATE(Tabla5[[#This Row],[MÉTODO DE ENVÍO 2]],Tabla5[[#This Row],[RUTA MADRE EBS]])</f>
        <v>INC-6INCENTIVO</v>
      </c>
      <c r="B39" s="4"/>
      <c r="C39" s="11" t="s">
        <v>147</v>
      </c>
      <c r="D39" s="4" t="s">
        <v>87</v>
      </c>
      <c r="E39" s="3" t="s">
        <v>84</v>
      </c>
      <c r="F39" s="4" t="s">
        <v>44</v>
      </c>
      <c r="G39" s="4" t="s">
        <v>88</v>
      </c>
      <c r="H39" s="4" t="s">
        <v>183</v>
      </c>
      <c r="I39" s="10">
        <v>500</v>
      </c>
    </row>
    <row r="40" spans="1:9" hidden="1" x14ac:dyDescent="0.3">
      <c r="A40" s="4" t="str">
        <f>CONCATENATE(Tabla5[[#This Row],[MÉTODO DE ENVÍO 2]],Tabla5[[#This Row],[RUTA MADRE EBS]])</f>
        <v>INC-7INCENTIVO</v>
      </c>
      <c r="B40" s="4"/>
      <c r="C40" s="11" t="s">
        <v>148</v>
      </c>
      <c r="D40" s="4" t="s">
        <v>89</v>
      </c>
      <c r="E40" s="3" t="s">
        <v>84</v>
      </c>
      <c r="F40" s="4" t="s">
        <v>44</v>
      </c>
      <c r="G40" s="4" t="s">
        <v>90</v>
      </c>
      <c r="H40" s="4" t="s">
        <v>183</v>
      </c>
      <c r="I40" s="10">
        <v>550</v>
      </c>
    </row>
    <row r="41" spans="1:9" hidden="1" x14ac:dyDescent="0.3">
      <c r="A41" s="4" t="str">
        <f>CONCATENATE(Tabla5[[#This Row],[MÉTODO DE ENVÍO 2]],Tabla5[[#This Row],[RUTA MADRE EBS]])</f>
        <v>INC-3INCENTIVO</v>
      </c>
      <c r="B41" s="4"/>
      <c r="C41" s="11" t="s">
        <v>144</v>
      </c>
      <c r="D41" s="4" t="s">
        <v>91</v>
      </c>
      <c r="E41" s="3" t="s">
        <v>84</v>
      </c>
      <c r="F41" s="4" t="s">
        <v>44</v>
      </c>
      <c r="G41" s="4" t="s">
        <v>92</v>
      </c>
      <c r="H41" s="4" t="s">
        <v>183</v>
      </c>
      <c r="I41" s="10">
        <v>250</v>
      </c>
    </row>
    <row r="42" spans="1:9" hidden="1" x14ac:dyDescent="0.3">
      <c r="A42" s="4" t="str">
        <f>CONCATENATE(Tabla5[[#This Row],[MÉTODO DE ENVÍO 2]],Tabla5[[#This Row],[RUTA MADRE EBS]])</f>
        <v>INC-8INCENTIVO</v>
      </c>
      <c r="B42" s="4"/>
      <c r="C42" s="11" t="s">
        <v>149</v>
      </c>
      <c r="D42" s="4" t="s">
        <v>93</v>
      </c>
      <c r="E42" s="3" t="s">
        <v>84</v>
      </c>
      <c r="F42" s="4" t="s">
        <v>44</v>
      </c>
      <c r="G42" s="4" t="s">
        <v>94</v>
      </c>
      <c r="H42" s="4" t="s">
        <v>183</v>
      </c>
      <c r="I42" s="10">
        <v>1700</v>
      </c>
    </row>
    <row r="43" spans="1:9" hidden="1" x14ac:dyDescent="0.3">
      <c r="A43" s="4" t="str">
        <f>CONCATENATE(Tabla5[[#This Row],[MÉTODO DE ENVÍO 2]],Tabla5[[#This Row],[RUTA MADRE EBS]])</f>
        <v>INC-4INCENTIVO</v>
      </c>
      <c r="B43" s="4"/>
      <c r="C43" s="11" t="s">
        <v>145</v>
      </c>
      <c r="D43" s="5" t="s">
        <v>157</v>
      </c>
      <c r="E43" s="3" t="s">
        <v>84</v>
      </c>
      <c r="F43" s="4" t="s">
        <v>44</v>
      </c>
      <c r="G43" s="4" t="s">
        <v>151</v>
      </c>
      <c r="H43" s="4" t="s">
        <v>183</v>
      </c>
      <c r="I43" s="10">
        <v>800</v>
      </c>
    </row>
    <row r="44" spans="1:9" hidden="1" x14ac:dyDescent="0.3">
      <c r="A44" s="4" t="str">
        <f>CONCATENATE(Tabla5[[#This Row],[MÉTODO DE ENVÍO 2]],Tabla5[[#This Row],[RUTA MADRE EBS]])</f>
        <v>INC-1INCENTIVO</v>
      </c>
      <c r="B44" s="4"/>
      <c r="C44" s="11" t="s">
        <v>142</v>
      </c>
      <c r="D44" s="4" t="s">
        <v>95</v>
      </c>
      <c r="E44" s="3" t="s">
        <v>84</v>
      </c>
      <c r="F44" s="4" t="s">
        <v>44</v>
      </c>
      <c r="G44" s="4" t="s">
        <v>96</v>
      </c>
      <c r="H44" s="4" t="s">
        <v>183</v>
      </c>
      <c r="I44" s="10">
        <v>200</v>
      </c>
    </row>
    <row r="45" spans="1:9" hidden="1" x14ac:dyDescent="0.3">
      <c r="A45" s="4" t="str">
        <f>CONCATENATE(Tabla5[[#This Row],[MÉTODO DE ENVÍO 2]],Tabla5[[#This Row],[RUTA MADRE EBS]])</f>
        <v>INC-2INCENTIVO</v>
      </c>
      <c r="B45" s="4"/>
      <c r="C45" s="11" t="s">
        <v>143</v>
      </c>
      <c r="D45" s="4" t="s">
        <v>97</v>
      </c>
      <c r="E45" s="3" t="s">
        <v>84</v>
      </c>
      <c r="F45" s="4" t="s">
        <v>44</v>
      </c>
      <c r="G45" s="4" t="s">
        <v>98</v>
      </c>
      <c r="H45" s="4" t="s">
        <v>183</v>
      </c>
      <c r="I45" s="10">
        <v>180</v>
      </c>
    </row>
    <row r="46" spans="1:9" hidden="1" x14ac:dyDescent="0.3">
      <c r="A46" s="4" t="str">
        <f>CONCATENATE(Tabla5[[#This Row],[MÉTODO DE ENVÍO 2]],Tabla5[[#This Row],[RUTA MADRE EBS]])</f>
        <v>MAÑANA/TARDE</v>
      </c>
      <c r="B46" s="4"/>
      <c r="C46" s="4"/>
      <c r="D46" s="4" t="s">
        <v>159</v>
      </c>
      <c r="E46" s="16" t="s">
        <v>163</v>
      </c>
      <c r="F46" s="4"/>
      <c r="G46" s="4"/>
      <c r="H46" s="6"/>
      <c r="I46" s="10">
        <v>100</v>
      </c>
    </row>
    <row r="47" spans="1:9" hidden="1" x14ac:dyDescent="0.3">
      <c r="A47" s="4" t="str">
        <f>CONCATENATE(Tabla5[[#This Row],[MÉTODO DE ENVÍO 2]],Tabla5[[#This Row],[RUTA MADRE EBS]])</f>
        <v>MS-010MERCADO</v>
      </c>
      <c r="B47" s="4" t="s">
        <v>100</v>
      </c>
      <c r="C47" s="4" t="s">
        <v>100</v>
      </c>
      <c r="D47" s="4" t="s">
        <v>49</v>
      </c>
      <c r="E47" s="3" t="s">
        <v>50</v>
      </c>
      <c r="F47" s="4" t="s">
        <v>10</v>
      </c>
      <c r="G47" s="4" t="s">
        <v>11</v>
      </c>
      <c r="H47" s="6"/>
      <c r="I47" s="10">
        <v>600</v>
      </c>
    </row>
    <row r="48" spans="1:9" hidden="1" x14ac:dyDescent="0.3">
      <c r="A48" s="4" t="str">
        <f>CONCATENATE(Tabla5[[#This Row],[MÉTODO DE ENVÍO 2]],Tabla5[[#This Row],[RUTA MADRE EBS]])</f>
        <v>MS-022MERCADO</v>
      </c>
      <c r="B48" s="4" t="s">
        <v>101</v>
      </c>
      <c r="C48" s="4" t="s">
        <v>101</v>
      </c>
      <c r="D48" s="4" t="s">
        <v>51</v>
      </c>
      <c r="E48" s="3" t="s">
        <v>50</v>
      </c>
      <c r="F48" s="4" t="s">
        <v>10</v>
      </c>
      <c r="G48" s="4" t="s">
        <v>13</v>
      </c>
      <c r="H48" s="6"/>
      <c r="I48" s="10">
        <v>700</v>
      </c>
    </row>
    <row r="49" spans="1:9" hidden="1" x14ac:dyDescent="0.3">
      <c r="A49" s="4" t="str">
        <f>CONCATENATE(Tabla5[[#This Row],[MÉTODO DE ENVÍO 2]],Tabla5[[#This Row],[RUTA MADRE EBS]])</f>
        <v>MS-050MERCADO</v>
      </c>
      <c r="B49" s="4" t="s">
        <v>102</v>
      </c>
      <c r="C49" s="4" t="s">
        <v>102</v>
      </c>
      <c r="D49" s="4" t="s">
        <v>52</v>
      </c>
      <c r="E49" s="3" t="s">
        <v>50</v>
      </c>
      <c r="F49" s="4" t="s">
        <v>10</v>
      </c>
      <c r="G49" s="4" t="s">
        <v>15</v>
      </c>
      <c r="H49" s="6"/>
      <c r="I49" s="10">
        <v>650</v>
      </c>
    </row>
    <row r="50" spans="1:9" hidden="1" x14ac:dyDescent="0.3">
      <c r="A50" s="4" t="str">
        <f>CONCATENATE(Tabla5[[#This Row],[MÉTODO DE ENVÍO 2]],Tabla5[[#This Row],[RUTA MADRE EBS]])</f>
        <v>MS-050-1MERCADO</v>
      </c>
      <c r="B50" s="4" t="s">
        <v>102</v>
      </c>
      <c r="C50" s="25" t="s">
        <v>208</v>
      </c>
      <c r="D50" s="4" t="s">
        <v>207</v>
      </c>
      <c r="E50" s="26" t="s">
        <v>50</v>
      </c>
      <c r="F50" s="23" t="s">
        <v>10</v>
      </c>
      <c r="G50" s="4" t="s">
        <v>210</v>
      </c>
      <c r="H50" s="6" t="s">
        <v>206</v>
      </c>
      <c r="I50" s="10">
        <v>1000</v>
      </c>
    </row>
    <row r="51" spans="1:9" hidden="1" x14ac:dyDescent="0.3">
      <c r="A51" s="4" t="str">
        <f>CONCATENATE(Tabla5[[#This Row],[MÉTODO DE ENVÍO 2]],Tabla5[[#This Row],[RUTA MADRE EBS]])</f>
        <v>MS-020MERCADO</v>
      </c>
      <c r="B51" s="4" t="s">
        <v>103</v>
      </c>
      <c r="C51" s="4" t="s">
        <v>103</v>
      </c>
      <c r="D51" s="4" t="s">
        <v>53</v>
      </c>
      <c r="E51" s="3" t="s">
        <v>50</v>
      </c>
      <c r="F51" s="4" t="s">
        <v>10</v>
      </c>
      <c r="G51" s="4" t="s">
        <v>17</v>
      </c>
      <c r="H51" s="6"/>
      <c r="I51" s="10">
        <v>650</v>
      </c>
    </row>
    <row r="52" spans="1:9" hidden="1" x14ac:dyDescent="0.3">
      <c r="A52" s="4" t="str">
        <f>CONCATENATE(Tabla5[[#This Row],[MÉTODO DE ENVÍO 2]],Tabla5[[#This Row],[RUTA MADRE EBS]])</f>
        <v>MS-020-1MERCADO</v>
      </c>
      <c r="B52" s="4" t="s">
        <v>103</v>
      </c>
      <c r="C52" s="25" t="s">
        <v>205</v>
      </c>
      <c r="D52" s="4" t="s">
        <v>204</v>
      </c>
      <c r="E52" s="26" t="s">
        <v>50</v>
      </c>
      <c r="F52" s="23" t="s">
        <v>10</v>
      </c>
      <c r="G52" s="4" t="s">
        <v>209</v>
      </c>
      <c r="H52" s="6" t="s">
        <v>206</v>
      </c>
      <c r="I52" s="10">
        <v>1000</v>
      </c>
    </row>
    <row r="53" spans="1:9" hidden="1" x14ac:dyDescent="0.3">
      <c r="A53" s="4" t="str">
        <f>CONCATENATE(Tabla5[[#This Row],[MÉTODO DE ENVÍO 2]],Tabla5[[#This Row],[RUTA MADRE EBS]])</f>
        <v>MS-030MERCADO</v>
      </c>
      <c r="B53" s="4" t="s">
        <v>104</v>
      </c>
      <c r="C53" s="4" t="s">
        <v>104</v>
      </c>
      <c r="D53" s="4" t="s">
        <v>54</v>
      </c>
      <c r="E53" s="3" t="s">
        <v>50</v>
      </c>
      <c r="F53" s="4" t="s">
        <v>10</v>
      </c>
      <c r="G53" s="4" t="s">
        <v>19</v>
      </c>
      <c r="H53" s="6"/>
      <c r="I53" s="10">
        <v>1700</v>
      </c>
    </row>
    <row r="54" spans="1:9" hidden="1" x14ac:dyDescent="0.3">
      <c r="A54" s="4" t="str">
        <f>CONCATENATE(Tabla5[[#This Row],[MÉTODO DE ENVÍO 2]],Tabla5[[#This Row],[RUTA MADRE EBS]])</f>
        <v>MS-220MERCADO</v>
      </c>
      <c r="B54" s="4" t="s">
        <v>105</v>
      </c>
      <c r="C54" s="4" t="s">
        <v>105</v>
      </c>
      <c r="D54" s="7" t="s">
        <v>55</v>
      </c>
      <c r="E54" s="3" t="s">
        <v>50</v>
      </c>
      <c r="F54" s="4" t="s">
        <v>10</v>
      </c>
      <c r="G54" s="7" t="s">
        <v>21</v>
      </c>
      <c r="H54" s="9"/>
      <c r="I54" s="10">
        <v>680</v>
      </c>
    </row>
    <row r="55" spans="1:9" hidden="1" x14ac:dyDescent="0.3">
      <c r="A55" s="4" t="str">
        <f>CONCATENATE(Tabla5[[#This Row],[MÉTODO DE ENVÍO 2]],Tabla5[[#This Row],[RUTA MADRE EBS]])</f>
        <v>MS-040MERCADO</v>
      </c>
      <c r="B55" s="4" t="s">
        <v>106</v>
      </c>
      <c r="C55" s="4" t="s">
        <v>106</v>
      </c>
      <c r="D55" s="4" t="s">
        <v>56</v>
      </c>
      <c r="E55" s="4" t="s">
        <v>50</v>
      </c>
      <c r="F55" s="4" t="s">
        <v>10</v>
      </c>
      <c r="G55" s="4" t="s">
        <v>23</v>
      </c>
      <c r="H55" s="4"/>
      <c r="I55" s="10">
        <v>650</v>
      </c>
    </row>
    <row r="56" spans="1:9" hidden="1" x14ac:dyDescent="0.3">
      <c r="A56" s="4" t="str">
        <f>CONCATENATE(Tabla5[[#This Row],[MÉTODO DE ENVÍO 2]],Tabla5[[#This Row],[RUTA MADRE EBS]])</f>
        <v>MS-350MERCADO</v>
      </c>
      <c r="B56" s="4" t="s">
        <v>107</v>
      </c>
      <c r="C56" s="4" t="s">
        <v>107</v>
      </c>
      <c r="D56" s="4" t="s">
        <v>57</v>
      </c>
      <c r="E56" s="4" t="s">
        <v>50</v>
      </c>
      <c r="F56" s="4" t="s">
        <v>10</v>
      </c>
      <c r="G56" s="4" t="s">
        <v>25</v>
      </c>
      <c r="H56" s="4"/>
      <c r="I56" s="10">
        <v>600</v>
      </c>
    </row>
    <row r="57" spans="1:9" hidden="1" x14ac:dyDescent="0.3">
      <c r="A57" s="4" t="str">
        <f>CONCATENATE(Tabla5[[#This Row],[MÉTODO DE ENVÍO 2]],Tabla5[[#This Row],[RUTA MADRE EBS]])</f>
        <v>S-120MERCADO</v>
      </c>
      <c r="B57" s="4" t="s">
        <v>108</v>
      </c>
      <c r="C57" s="4" t="s">
        <v>108</v>
      </c>
      <c r="D57" s="4" t="s">
        <v>58</v>
      </c>
      <c r="E57" s="3" t="s">
        <v>50</v>
      </c>
      <c r="F57" s="4" t="s">
        <v>10</v>
      </c>
      <c r="G57" s="4" t="s">
        <v>27</v>
      </c>
      <c r="H57" s="6"/>
      <c r="I57" s="10">
        <v>2000</v>
      </c>
    </row>
    <row r="58" spans="1:9" hidden="1" x14ac:dyDescent="0.3">
      <c r="A58" s="4" t="str">
        <f>CONCATENATE(Tabla5[[#This Row],[MÉTODO DE ENVÍO 2]],Tabla5[[#This Row],[RUTA MADRE EBS]])</f>
        <v>S-017MERCADO</v>
      </c>
      <c r="B58" s="4" t="s">
        <v>109</v>
      </c>
      <c r="C58" s="4" t="s">
        <v>109</v>
      </c>
      <c r="D58" s="4" t="s">
        <v>59</v>
      </c>
      <c r="E58" s="3" t="s">
        <v>50</v>
      </c>
      <c r="F58" s="4" t="s">
        <v>10</v>
      </c>
      <c r="G58" s="4" t="s">
        <v>29</v>
      </c>
      <c r="H58" s="6"/>
      <c r="I58" s="10">
        <v>1150</v>
      </c>
    </row>
    <row r="59" spans="1:9" hidden="1" x14ac:dyDescent="0.3">
      <c r="A59" s="4" t="str">
        <f>CONCATENATE(Tabla5[[#This Row],[MÉTODO DE ENVÍO 2]],Tabla5[[#This Row],[RUTA MADRE EBS]])</f>
        <v>S-630-1PROVINCIA</v>
      </c>
      <c r="B59" s="4" t="s">
        <v>121</v>
      </c>
      <c r="C59" s="13" t="s">
        <v>129</v>
      </c>
      <c r="D59" s="4" t="s">
        <v>77</v>
      </c>
      <c r="E59" s="3" t="s">
        <v>61</v>
      </c>
      <c r="F59" s="4" t="s">
        <v>61</v>
      </c>
      <c r="G59" s="4" t="s">
        <v>77</v>
      </c>
      <c r="H59" s="4" t="s">
        <v>174</v>
      </c>
      <c r="I59" s="10">
        <v>1800</v>
      </c>
    </row>
    <row r="60" spans="1:9" hidden="1" x14ac:dyDescent="0.3">
      <c r="A60" s="4" t="str">
        <f>CONCATENATE(Tabla5[[#This Row],[MÉTODO DE ENVÍO 2]],Tabla5[[#This Row],[RUTA MADRE EBS]])</f>
        <v>S-014PROVINCIA</v>
      </c>
      <c r="B60" s="4" t="s">
        <v>115</v>
      </c>
      <c r="C60" s="4" t="s">
        <v>115</v>
      </c>
      <c r="D60" s="4" t="s">
        <v>60</v>
      </c>
      <c r="E60" s="3" t="s">
        <v>61</v>
      </c>
      <c r="F60" s="4" t="s">
        <v>61</v>
      </c>
      <c r="G60" s="4" t="s">
        <v>60</v>
      </c>
      <c r="H60" s="4" t="s">
        <v>174</v>
      </c>
      <c r="I60" s="10">
        <v>2100</v>
      </c>
    </row>
    <row r="61" spans="1:9" hidden="1" x14ac:dyDescent="0.3">
      <c r="A61" s="4" t="str">
        <f>CONCATENATE(Tabla5[[#This Row],[MÉTODO DE ENVÍO 2]],Tabla5[[#This Row],[RUTA MADRE EBS]])</f>
        <v>S-612-1PROVINCIA</v>
      </c>
      <c r="B61" s="4" t="s">
        <v>112</v>
      </c>
      <c r="C61" s="13" t="s">
        <v>141</v>
      </c>
      <c r="D61" s="7" t="s">
        <v>62</v>
      </c>
      <c r="E61" s="8" t="s">
        <v>61</v>
      </c>
      <c r="F61" s="7" t="s">
        <v>61</v>
      </c>
      <c r="G61" s="7" t="s">
        <v>62</v>
      </c>
      <c r="H61" s="4" t="s">
        <v>174</v>
      </c>
      <c r="I61" s="10">
        <v>5700</v>
      </c>
    </row>
    <row r="62" spans="1:9" hidden="1" x14ac:dyDescent="0.3">
      <c r="A62" s="4" t="str">
        <f>CONCATENATE(Tabla5[[#This Row],[MÉTODO DE ENVÍO 2]],Tabla5[[#This Row],[RUTA MADRE EBS]])</f>
        <v>S-612PROVINCIA</v>
      </c>
      <c r="B62" s="4" t="s">
        <v>112</v>
      </c>
      <c r="C62" s="4" t="s">
        <v>112</v>
      </c>
      <c r="D62" s="7" t="s">
        <v>63</v>
      </c>
      <c r="E62" s="8" t="s">
        <v>61</v>
      </c>
      <c r="F62" s="7" t="s">
        <v>61</v>
      </c>
      <c r="G62" s="7" t="s">
        <v>63</v>
      </c>
      <c r="H62" s="4" t="s">
        <v>174</v>
      </c>
      <c r="I62" s="10">
        <v>8500</v>
      </c>
    </row>
    <row r="63" spans="1:9" hidden="1" x14ac:dyDescent="0.3">
      <c r="A63" s="4" t="str">
        <f>CONCATENATE(Tabla5[[#This Row],[MÉTODO DE ENVÍO 2]],Tabla5[[#This Row],[RUTA MADRE EBS]])</f>
        <v>S-710PROVINCIA</v>
      </c>
      <c r="B63" s="4" t="s">
        <v>113</v>
      </c>
      <c r="C63" s="4" t="s">
        <v>113</v>
      </c>
      <c r="D63" s="4" t="s">
        <v>64</v>
      </c>
      <c r="E63" s="3" t="s">
        <v>61</v>
      </c>
      <c r="F63" s="4" t="s">
        <v>61</v>
      </c>
      <c r="G63" s="4" t="s">
        <v>64</v>
      </c>
      <c r="H63" s="4" t="s">
        <v>174</v>
      </c>
      <c r="I63" s="10">
        <v>5800</v>
      </c>
    </row>
    <row r="64" spans="1:9" hidden="1" x14ac:dyDescent="0.3">
      <c r="A64" s="4" t="str">
        <f>CONCATENATE(Tabla5[[#This Row],[MÉTODO DE ENVÍO 2]],Tabla5[[#This Row],[RUTA MADRE EBS]])</f>
        <v>S-620-2PROVINCIA</v>
      </c>
      <c r="B64" s="4" t="s">
        <v>120</v>
      </c>
      <c r="C64" s="13" t="s">
        <v>131</v>
      </c>
      <c r="D64" s="4" t="s">
        <v>65</v>
      </c>
      <c r="E64" s="3" t="s">
        <v>61</v>
      </c>
      <c r="F64" s="4" t="s">
        <v>61</v>
      </c>
      <c r="G64" s="4" t="s">
        <v>65</v>
      </c>
      <c r="H64" s="4" t="s">
        <v>174</v>
      </c>
      <c r="I64" s="10">
        <v>5800</v>
      </c>
    </row>
    <row r="65" spans="1:9" hidden="1" x14ac:dyDescent="0.3">
      <c r="A65" s="4" t="str">
        <f>CONCATENATE(Tabla5[[#This Row],[MÉTODO DE ENVÍO 2]],Tabla5[[#This Row],[RUTA MADRE EBS]])</f>
        <v>S-630PROVINCIA</v>
      </c>
      <c r="B65" s="4" t="s">
        <v>121</v>
      </c>
      <c r="C65" s="4" t="s">
        <v>121</v>
      </c>
      <c r="D65" s="4" t="s">
        <v>73</v>
      </c>
      <c r="E65" s="3" t="s">
        <v>61</v>
      </c>
      <c r="F65" s="4" t="s">
        <v>61</v>
      </c>
      <c r="G65" s="4" t="s">
        <v>74</v>
      </c>
      <c r="H65" s="4" t="s">
        <v>174</v>
      </c>
      <c r="I65" s="10">
        <v>6500</v>
      </c>
    </row>
    <row r="66" spans="1:9" hidden="1" x14ac:dyDescent="0.3">
      <c r="A66" s="4" t="str">
        <f>CONCATENATE(Tabla5[[#This Row],[MÉTODO DE ENVÍO 2]],Tabla5[[#This Row],[RUTA MADRE EBS]])</f>
        <v>S-630-4PROVINCIA</v>
      </c>
      <c r="B66" s="4" t="s">
        <v>121</v>
      </c>
      <c r="C66" s="13" t="s">
        <v>153</v>
      </c>
      <c r="D66" s="4" t="s">
        <v>154</v>
      </c>
      <c r="E66" s="3" t="s">
        <v>61</v>
      </c>
      <c r="F66" s="4" t="s">
        <v>61</v>
      </c>
      <c r="G66" s="4" t="s">
        <v>74</v>
      </c>
      <c r="H66" s="4" t="s">
        <v>174</v>
      </c>
      <c r="I66" s="10">
        <v>6700</v>
      </c>
    </row>
    <row r="67" spans="1:9" hidden="1" x14ac:dyDescent="0.3">
      <c r="A67" s="4" t="str">
        <f>CONCATENATE(Tabla5[[#This Row],[MÉTODO DE ENVÍO 2]],Tabla5[[#This Row],[RUTA MADRE EBS]])</f>
        <v>S-650PROVINCIA</v>
      </c>
      <c r="B67" s="4" t="s">
        <v>125</v>
      </c>
      <c r="C67" s="14" t="s">
        <v>125</v>
      </c>
      <c r="D67" s="17" t="s">
        <v>118</v>
      </c>
      <c r="E67" s="3" t="s">
        <v>61</v>
      </c>
      <c r="F67" s="4" t="s">
        <v>61</v>
      </c>
      <c r="G67" s="4" t="s">
        <v>66</v>
      </c>
      <c r="H67" s="4" t="s">
        <v>174</v>
      </c>
      <c r="I67" s="10">
        <v>1100</v>
      </c>
    </row>
    <row r="68" spans="1:9" hidden="1" x14ac:dyDescent="0.3">
      <c r="A68" s="4" t="str">
        <f>CONCATENATE(Tabla5[[#This Row],[MÉTODO DE ENVÍO 2]],Tabla5[[#This Row],[RUTA MADRE EBS]])</f>
        <v>S-690-1PROVINCIA</v>
      </c>
      <c r="B68" s="4" t="s">
        <v>119</v>
      </c>
      <c r="C68" s="13" t="s">
        <v>130</v>
      </c>
      <c r="D68" s="4" t="s">
        <v>67</v>
      </c>
      <c r="E68" s="3" t="s">
        <v>61</v>
      </c>
      <c r="F68" s="4" t="s">
        <v>61</v>
      </c>
      <c r="G68" s="4" t="s">
        <v>67</v>
      </c>
      <c r="H68" s="4" t="s">
        <v>174</v>
      </c>
      <c r="I68" s="10">
        <v>2400</v>
      </c>
    </row>
    <row r="69" spans="1:9" hidden="1" x14ac:dyDescent="0.3">
      <c r="A69" s="4" t="str">
        <f>CONCATENATE(Tabla5[[#This Row],[MÉTODO DE ENVÍO 2]],Tabla5[[#This Row],[RUTA MADRE EBS]])</f>
        <v>S-750PROVINCIA</v>
      </c>
      <c r="B69" s="4" t="s">
        <v>122</v>
      </c>
      <c r="C69" s="4" t="s">
        <v>122</v>
      </c>
      <c r="D69" s="18" t="s">
        <v>68</v>
      </c>
      <c r="E69" s="3" t="s">
        <v>61</v>
      </c>
      <c r="F69" s="4" t="s">
        <v>61</v>
      </c>
      <c r="G69" s="4" t="s">
        <v>68</v>
      </c>
      <c r="H69" s="4" t="s">
        <v>174</v>
      </c>
      <c r="I69" s="10">
        <v>9000</v>
      </c>
    </row>
    <row r="70" spans="1:9" hidden="1" x14ac:dyDescent="0.3">
      <c r="A70" s="4" t="str">
        <f>CONCATENATE(Tabla5[[#This Row],[MÉTODO DE ENVÍO 2]],Tabla5[[#This Row],[RUTA MADRE EBS]])</f>
        <v>S-690PROVINCIA</v>
      </c>
      <c r="B70" s="4" t="s">
        <v>119</v>
      </c>
      <c r="C70" s="4" t="s">
        <v>119</v>
      </c>
      <c r="D70" s="4" t="s">
        <v>99</v>
      </c>
      <c r="E70" s="3" t="s">
        <v>61</v>
      </c>
      <c r="F70" s="4" t="s">
        <v>61</v>
      </c>
      <c r="G70" s="4" t="s">
        <v>99</v>
      </c>
      <c r="H70" s="4" t="s">
        <v>174</v>
      </c>
      <c r="I70" s="10">
        <v>7500</v>
      </c>
    </row>
    <row r="71" spans="1:9" hidden="1" x14ac:dyDescent="0.3">
      <c r="A71" s="4" t="str">
        <f>CONCATENATE(Tabla5[[#This Row],[MÉTODO DE ENVÍO 2]],Tabla5[[#This Row],[RUTA MADRE EBS]])</f>
        <v>S-620-4PROVINCIA</v>
      </c>
      <c r="B71" s="4" t="s">
        <v>120</v>
      </c>
      <c r="C71" s="13" t="s">
        <v>132</v>
      </c>
      <c r="D71" s="4" t="s">
        <v>69</v>
      </c>
      <c r="E71" s="3" t="s">
        <v>61</v>
      </c>
      <c r="F71" s="4" t="s">
        <v>61</v>
      </c>
      <c r="G71" s="4" t="s">
        <v>69</v>
      </c>
      <c r="H71" s="4" t="s">
        <v>174</v>
      </c>
      <c r="I71" s="10">
        <v>8500</v>
      </c>
    </row>
    <row r="72" spans="1:9" hidden="1" x14ac:dyDescent="0.3">
      <c r="A72" s="4" t="str">
        <f>CONCATENATE(Tabla5[[#This Row],[MÉTODO DE ENVÍO 2]],Tabla5[[#This Row],[RUTA MADRE EBS]])</f>
        <v>S-620PROVINCIA</v>
      </c>
      <c r="B72" s="4" t="s">
        <v>120</v>
      </c>
      <c r="C72" s="4" t="s">
        <v>120</v>
      </c>
      <c r="D72" s="4" t="s">
        <v>70</v>
      </c>
      <c r="E72" s="3" t="s">
        <v>61</v>
      </c>
      <c r="F72" s="4" t="s">
        <v>61</v>
      </c>
      <c r="G72" s="4" t="s">
        <v>70</v>
      </c>
      <c r="H72" s="4" t="s">
        <v>174</v>
      </c>
      <c r="I72" s="10">
        <v>9000</v>
      </c>
    </row>
    <row r="73" spans="1:9" hidden="1" x14ac:dyDescent="0.3">
      <c r="A73" s="4" t="str">
        <f>CONCATENATE(Tabla5[[#This Row],[MÉTODO DE ENVÍO 2]],Tabla5[[#This Row],[RUTA MADRE EBS]])</f>
        <v>S-620-1PROVINCIA</v>
      </c>
      <c r="B73" s="4" t="s">
        <v>120</v>
      </c>
      <c r="C73" s="13" t="s">
        <v>128</v>
      </c>
      <c r="D73" s="4" t="s">
        <v>126</v>
      </c>
      <c r="E73" s="3" t="s">
        <v>61</v>
      </c>
      <c r="F73" s="4" t="s">
        <v>61</v>
      </c>
      <c r="G73" s="4"/>
      <c r="H73" s="4" t="s">
        <v>174</v>
      </c>
      <c r="I73" s="10">
        <v>4100</v>
      </c>
    </row>
    <row r="74" spans="1:9" hidden="1" x14ac:dyDescent="0.3">
      <c r="A74" s="4" t="str">
        <f>CONCATENATE(Tabla5[[#This Row],[MÉTODO DE ENVÍO 2]],Tabla5[[#This Row],[RUTA MADRE EBS]])</f>
        <v>S-690-2PROVINCIA</v>
      </c>
      <c r="B74" s="4" t="s">
        <v>119</v>
      </c>
      <c r="C74" s="13" t="s">
        <v>137</v>
      </c>
      <c r="D74" s="4" t="s">
        <v>71</v>
      </c>
      <c r="E74" s="3" t="s">
        <v>61</v>
      </c>
      <c r="F74" s="4" t="s">
        <v>61</v>
      </c>
      <c r="G74" s="4" t="s">
        <v>71</v>
      </c>
      <c r="H74" s="4" t="s">
        <v>174</v>
      </c>
      <c r="I74" s="10">
        <v>5800</v>
      </c>
    </row>
    <row r="75" spans="1:9" hidden="1" x14ac:dyDescent="0.3">
      <c r="A75" s="4" t="str">
        <f>CONCATENATE(Tabla5[[#This Row],[MÉTODO DE ENVÍO 2]],Tabla5[[#This Row],[RUTA MADRE EBS]])</f>
        <v>S-630-2PROVINCIA</v>
      </c>
      <c r="B75" s="4" t="s">
        <v>121</v>
      </c>
      <c r="C75" s="13" t="s">
        <v>136</v>
      </c>
      <c r="D75" s="4" t="s">
        <v>72</v>
      </c>
      <c r="E75" s="3" t="s">
        <v>61</v>
      </c>
      <c r="F75" s="4" t="s">
        <v>61</v>
      </c>
      <c r="G75" s="4" t="s">
        <v>72</v>
      </c>
      <c r="H75" s="4" t="s">
        <v>174</v>
      </c>
      <c r="I75" s="10">
        <v>3000</v>
      </c>
    </row>
    <row r="76" spans="1:9" hidden="1" x14ac:dyDescent="0.3">
      <c r="A76" s="4" t="str">
        <f>CONCATENATE(Tabla5[[#This Row],[MÉTODO DE ENVÍO 2]],Tabla5[[#This Row],[RUTA MADRE EBS]])</f>
        <v>S-630-3PROVINCIA</v>
      </c>
      <c r="B76" s="4" t="s">
        <v>121</v>
      </c>
      <c r="C76" s="13" t="s">
        <v>133</v>
      </c>
      <c r="D76" s="4" t="s">
        <v>135</v>
      </c>
      <c r="E76" s="4" t="s">
        <v>61</v>
      </c>
      <c r="F76" s="4" t="s">
        <v>61</v>
      </c>
      <c r="G76" s="4"/>
      <c r="H76" s="4" t="s">
        <v>174</v>
      </c>
      <c r="I76" s="10">
        <v>3300</v>
      </c>
    </row>
    <row r="77" spans="1:9" hidden="1" x14ac:dyDescent="0.3">
      <c r="A77" s="4" t="str">
        <f>CONCATENATE(Tabla5[[#This Row],[MÉTODO DE ENVÍO 2]],Tabla5[[#This Row],[RUTA MADRE EBS]])</f>
        <v>S-620-3PROVINCIA</v>
      </c>
      <c r="B77" s="4" t="s">
        <v>120</v>
      </c>
      <c r="C77" s="13" t="s">
        <v>134</v>
      </c>
      <c r="D77" s="4" t="s">
        <v>127</v>
      </c>
      <c r="E77" s="4" t="s">
        <v>61</v>
      </c>
      <c r="F77" s="4" t="s">
        <v>61</v>
      </c>
      <c r="G77" s="4"/>
      <c r="H77" s="4" t="s">
        <v>174</v>
      </c>
      <c r="I77" s="4">
        <v>6700</v>
      </c>
    </row>
    <row r="78" spans="1:9" hidden="1" x14ac:dyDescent="0.3">
      <c r="A78" s="4" t="str">
        <f>CONCATENATE(Tabla5[[#This Row],[MÉTODO DE ENVÍO 2]],Tabla5[[#This Row],[RUTA MADRE EBS]])</f>
        <v>S-680PROVINCIA</v>
      </c>
      <c r="B78" s="4" t="s">
        <v>117</v>
      </c>
      <c r="C78" t="s">
        <v>117</v>
      </c>
      <c r="D78" s="4" t="s">
        <v>75</v>
      </c>
      <c r="E78" s="4" t="s">
        <v>61</v>
      </c>
      <c r="F78" s="4" t="s">
        <v>61</v>
      </c>
      <c r="G78" s="5" t="s">
        <v>75</v>
      </c>
      <c r="H78" s="4" t="s">
        <v>174</v>
      </c>
      <c r="I78" s="4">
        <v>1100</v>
      </c>
    </row>
    <row r="79" spans="1:9" hidden="1" x14ac:dyDescent="0.3">
      <c r="A79" s="4" t="str">
        <f>CONCATENATE(Tabla5[[#This Row],[MÉTODO DE ENVÍO 2]],Tabla5[[#This Row],[RUTA MADRE EBS]])</f>
        <v>S-700PROVINCIA</v>
      </c>
      <c r="B79" s="4" t="s">
        <v>114</v>
      </c>
      <c r="C79" s="4" t="s">
        <v>114</v>
      </c>
      <c r="D79" s="4" t="s">
        <v>76</v>
      </c>
      <c r="E79" s="4" t="s">
        <v>61</v>
      </c>
      <c r="F79" s="4" t="s">
        <v>61</v>
      </c>
      <c r="G79" s="4" t="s">
        <v>76</v>
      </c>
      <c r="H79" s="4" t="s">
        <v>174</v>
      </c>
      <c r="I79" s="4">
        <v>4500</v>
      </c>
    </row>
    <row r="80" spans="1:9" hidden="1" x14ac:dyDescent="0.3">
      <c r="A80" s="4" t="str">
        <f>CONCATENATE(Tabla5[[#This Row],[MÉTODO DE ENVÍO 2]],Tabla5[[#This Row],[RUTA MADRE EBS]])</f>
        <v>S-016PROVINCIA</v>
      </c>
      <c r="B80" s="4" t="s">
        <v>116</v>
      </c>
      <c r="C80" s="4" t="s">
        <v>116</v>
      </c>
      <c r="D80" s="4" t="s">
        <v>78</v>
      </c>
      <c r="E80" s="4" t="s">
        <v>61</v>
      </c>
      <c r="F80" s="4" t="s">
        <v>61</v>
      </c>
      <c r="G80" s="4" t="s">
        <v>78</v>
      </c>
      <c r="H80" s="4" t="s">
        <v>174</v>
      </c>
      <c r="I80" s="4">
        <v>2600</v>
      </c>
    </row>
    <row r="81" spans="1:9" hidden="1" x14ac:dyDescent="0.3">
      <c r="A81" s="4" t="str">
        <f>CONCATENATE(Tabla5[[#This Row],[MÉTODO DE ENVÍO 2]],Tabla5[[#This Row],[RUTA MADRE EBS]])</f>
        <v>SS-230RUTEO MADRUGADA</v>
      </c>
      <c r="B81" s="4"/>
      <c r="C81" s="4" t="s">
        <v>184</v>
      </c>
      <c r="D81" s="4" t="s">
        <v>185</v>
      </c>
      <c r="E81" s="3" t="s">
        <v>80</v>
      </c>
      <c r="F81" s="4"/>
      <c r="G81" s="4"/>
      <c r="H81" s="4" t="s">
        <v>186</v>
      </c>
      <c r="I81" s="4">
        <v>770</v>
      </c>
    </row>
    <row r="82" spans="1:9" hidden="1" x14ac:dyDescent="0.3">
      <c r="A82" s="4" t="str">
        <f>CONCATENATE(Tabla5[[#This Row],[MÉTODO DE ENVÍO 2]],Tabla5[[#This Row],[RUTA MADRE EBS]])</f>
        <v>RUTEO MADRUGADA</v>
      </c>
      <c r="B82" s="4"/>
      <c r="C82" s="4"/>
      <c r="D82" s="4" t="s">
        <v>79</v>
      </c>
      <c r="E82" s="4" t="s">
        <v>80</v>
      </c>
      <c r="F82" s="4" t="s">
        <v>81</v>
      </c>
      <c r="G82" s="4" t="s">
        <v>82</v>
      </c>
      <c r="H82" s="4"/>
      <c r="I82" s="4">
        <v>700</v>
      </c>
    </row>
    <row r="83" spans="1:9" x14ac:dyDescent="0.3">
      <c r="A83" s="4" t="str">
        <f>CONCATENATE(Tabla5[[#This Row],[MÉTODO DE ENVÍO 2]],Tabla5[[#This Row],[RUTA MADRE EBS]])</f>
        <v>PSC-003SECOS</v>
      </c>
      <c r="B83" s="4"/>
      <c r="C83" s="4" t="s">
        <v>166</v>
      </c>
      <c r="D83" s="4" t="s">
        <v>83</v>
      </c>
      <c r="E83" s="4" t="s">
        <v>83</v>
      </c>
      <c r="F83" s="4" t="s">
        <v>83</v>
      </c>
      <c r="G83" s="4" t="s">
        <v>83</v>
      </c>
      <c r="H83" s="20" t="s">
        <v>189</v>
      </c>
      <c r="I83" s="4">
        <v>750</v>
      </c>
    </row>
    <row r="84" spans="1:9" x14ac:dyDescent="0.3">
      <c r="A84" s="4" t="str">
        <f>CONCATENATE(Tabla5[[#This Row],[MÉTODO DE ENVÍO 2]],Tabla5[[#This Row],[RUTA MADRE EBS]])</f>
        <v>PSC-002SECOS</v>
      </c>
      <c r="B84" s="4"/>
      <c r="C84" s="4" t="s">
        <v>188</v>
      </c>
      <c r="D84" s="4" t="s">
        <v>195</v>
      </c>
      <c r="E84" s="4" t="s">
        <v>83</v>
      </c>
      <c r="F84" s="4"/>
      <c r="G84" s="4"/>
      <c r="H84" s="20" t="s">
        <v>193</v>
      </c>
      <c r="I84" s="10">
        <v>600</v>
      </c>
    </row>
    <row r="85" spans="1:9" x14ac:dyDescent="0.3">
      <c r="A85" s="4" t="str">
        <f>CONCATENATE(Tabla5[[#This Row],[MÉTODO DE ENVÍO 2]],Tabla5[[#This Row],[RUTA MADRE EBS]])</f>
        <v>S-650SECOS</v>
      </c>
      <c r="B85" s="4"/>
      <c r="C85" s="14" t="s">
        <v>125</v>
      </c>
      <c r="D85" s="4" t="s">
        <v>168</v>
      </c>
      <c r="E85" s="4" t="s">
        <v>83</v>
      </c>
      <c r="F85" s="4"/>
      <c r="G85" s="4"/>
      <c r="H85" s="4" t="s">
        <v>190</v>
      </c>
      <c r="I85" s="4">
        <v>800</v>
      </c>
    </row>
    <row r="86" spans="1:9" x14ac:dyDescent="0.3">
      <c r="A86" s="4" t="str">
        <f>CONCATENATE(Tabla5[[#This Row],[MÉTODO DE ENVÍO 2]],Tabla5[[#This Row],[RUTA MADRE EBS]])</f>
        <v>S-700SECOS</v>
      </c>
      <c r="B86" s="4"/>
      <c r="C86" s="4" t="s">
        <v>114</v>
      </c>
      <c r="D86" s="4" t="s">
        <v>162</v>
      </c>
      <c r="E86" s="4" t="s">
        <v>83</v>
      </c>
      <c r="F86" s="4"/>
      <c r="G86" s="4"/>
      <c r="H86" s="4" t="s">
        <v>190</v>
      </c>
      <c r="I86" s="4">
        <v>3500</v>
      </c>
    </row>
    <row r="87" spans="1:9" x14ac:dyDescent="0.3">
      <c r="A87" s="4" t="str">
        <f>CONCATENATE(Tabla5[[#This Row],[MÉTODO DE ENVÍO 2]],Tabla5[[#This Row],[RUTA MADRE EBS]])</f>
        <v>PSC-001SECOS</v>
      </c>
      <c r="B87" s="7"/>
      <c r="C87" s="4" t="s">
        <v>167</v>
      </c>
      <c r="D87" s="4" t="s">
        <v>160</v>
      </c>
      <c r="E87" s="4" t="s">
        <v>83</v>
      </c>
      <c r="F87" s="7"/>
      <c r="G87" s="7"/>
      <c r="H87" s="4" t="s">
        <v>187</v>
      </c>
      <c r="I87" s="4">
        <v>650</v>
      </c>
    </row>
    <row r="88" spans="1:9" x14ac:dyDescent="0.3">
      <c r="A88" s="4" t="str">
        <f>CONCATENATE(Tabla5[[#This Row],[MÉTODO DE ENVÍO 2]],Tabla5[[#This Row],[RUTA MADRE EBS]])</f>
        <v>S-120SECOS</v>
      </c>
      <c r="B88" s="4"/>
      <c r="C88" s="4" t="s">
        <v>108</v>
      </c>
      <c r="D88" s="4" t="s">
        <v>171</v>
      </c>
      <c r="E88" s="4" t="s">
        <v>83</v>
      </c>
      <c r="F88" s="4"/>
      <c r="G88" s="4"/>
      <c r="H88" s="4" t="s">
        <v>190</v>
      </c>
      <c r="I88" s="4">
        <v>1050</v>
      </c>
    </row>
    <row r="89" spans="1:9" x14ac:dyDescent="0.3">
      <c r="A89" s="4" t="str">
        <f>CONCATENATE(Tabla5[[#This Row],[MÉTODO DE ENVÍO 2]],Tabla5[[#This Row],[RUTA MADRE EBS]])</f>
        <v>S-680SECOS</v>
      </c>
      <c r="B89" s="7"/>
      <c r="C89" s="7" t="s">
        <v>117</v>
      </c>
      <c r="D89" s="4" t="s">
        <v>170</v>
      </c>
      <c r="E89" s="4" t="s">
        <v>83</v>
      </c>
      <c r="F89" s="7"/>
      <c r="G89" s="7"/>
      <c r="H89" s="4" t="s">
        <v>190</v>
      </c>
      <c r="I89" s="4">
        <v>1050</v>
      </c>
    </row>
    <row r="90" spans="1:9" x14ac:dyDescent="0.3">
      <c r="A90" s="4" t="str">
        <f>CONCATENATE(Tabla5[[#This Row],[MÉTODO DE ENVÍO 2]],Tabla5[[#This Row],[RUTA MADRE EBS]])</f>
        <v>S-017SECOS</v>
      </c>
      <c r="B90" s="7"/>
      <c r="C90" s="7" t="s">
        <v>109</v>
      </c>
      <c r="D90" s="4" t="s">
        <v>169</v>
      </c>
      <c r="E90" s="4" t="s">
        <v>83</v>
      </c>
      <c r="F90" s="7"/>
      <c r="G90" s="7"/>
      <c r="H90" s="4" t="s">
        <v>190</v>
      </c>
      <c r="I90" s="21">
        <v>880</v>
      </c>
    </row>
  </sheetData>
  <conditionalFormatting sqref="A2:A90">
    <cfRule type="duplicateValues" dxfId="0" priority="11"/>
  </conditionalFormatting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Sofia Ltda.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David Vega Cuevas</dc:creator>
  <cp:lastModifiedBy>Jorge David Vega Cuevas</cp:lastModifiedBy>
  <dcterms:created xsi:type="dcterms:W3CDTF">2026-01-14T20:37:55Z</dcterms:created>
  <dcterms:modified xsi:type="dcterms:W3CDTF">2026-07-08T17:10:35Z</dcterms:modified>
</cp:coreProperties>
</file>